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cuments\VJU\F1Y4\Web\Cuối kỳ\docs\"/>
    </mc:Choice>
  </mc:AlternateContent>
  <xr:revisionPtr revIDLastSave="0" documentId="13_ncr:1_{A102C3CF-FE33-4049-A1D1-AAE385198255}" xr6:coauthVersionLast="47" xr6:coauthVersionMax="47" xr10:uidLastSave="{00000000-0000-0000-0000-000000000000}"/>
  <bookViews>
    <workbookView xWindow="-103" yWindow="-103" windowWidth="22149" windowHeight="13200" activeTab="5" xr2:uid="{00000000-000D-0000-FFFF-FFFF00000000}"/>
  </bookViews>
  <sheets>
    <sheet name="Tổng quan" sheetId="1" r:id="rId1"/>
    <sheet name="Sinh viên" sheetId="2" r:id="rId2"/>
    <sheet name="Giảng viên" sheetId="3" r:id="rId3"/>
    <sheet name="Trưởng nhóm HP" sheetId="4" r:id="rId4"/>
    <sheet name="Trưởng khoa" sheetId="5" r:id="rId5"/>
    <sheet name="Admin" sheetId="6" r:id="rId6"/>
    <sheet name="Hệ thống AI" sheetId="7" r:id="rId7"/>
    <sheet name="Phi chức năng (NFR)" sheetId="8" r:id="rId8"/>
    <sheet name="SRS còn thiếu" sheetId="9" r:id="rId9"/>
    <sheet name="Hệ thống có, SRS chưa có" sheetId="10" r:id="rId10"/>
  </sheets>
  <definedNames>
    <definedName name="_xlnm._FilterDatabase" localSheetId="5" hidden="1">Admin!$A$1:$L$11</definedName>
    <definedName name="_xlnm._FilterDatabase" localSheetId="2" hidden="1">'Giảng viên'!$A$1:$L$45</definedName>
    <definedName name="_xlnm._FilterDatabase" localSheetId="6" hidden="1">'Hệ thống AI'!$A$1:$L$8</definedName>
    <definedName name="_xlnm._FilterDatabase" localSheetId="9" hidden="1">'Hệ thống có, SRS chưa có'!$A$1:$D$11</definedName>
    <definedName name="_xlnm._FilterDatabase" localSheetId="7" hidden="1">'Phi chức năng (NFR)'!$A$1:$G$9</definedName>
    <definedName name="_xlnm._FilterDatabase" localSheetId="1" hidden="1">'Sinh viên'!$A$1:$L$66</definedName>
    <definedName name="_xlnm._FilterDatabase" localSheetId="8" hidden="1">'SRS còn thiếu'!$A$1:$F$17</definedName>
    <definedName name="_xlnm._FilterDatabase" localSheetId="4" hidden="1">'Trưởng khoa'!$A$1:$L$5</definedName>
    <definedName name="_xlnm._FilterDatabase" localSheetId="3" hidden="1">'Trưởng nhóm HP'!$A$1:$L$9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F10" i="1"/>
  <c r="E10" i="1"/>
  <c r="D10" i="1"/>
  <c r="C10" i="1"/>
  <c r="B10" i="1"/>
  <c r="G10" i="1" s="1"/>
  <c r="H9" i="1"/>
  <c r="F9" i="1"/>
  <c r="E9" i="1"/>
  <c r="D9" i="1"/>
  <c r="C9" i="1"/>
  <c r="B9" i="1"/>
  <c r="G9" i="1" s="1"/>
  <c r="H8" i="1"/>
  <c r="F8" i="1"/>
  <c r="E8" i="1"/>
  <c r="D8" i="1"/>
  <c r="C8" i="1"/>
  <c r="B8" i="1"/>
  <c r="G8" i="1" s="1"/>
  <c r="H7" i="1"/>
  <c r="F7" i="1"/>
  <c r="E7" i="1"/>
  <c r="D7" i="1"/>
  <c r="C7" i="1"/>
  <c r="B7" i="1"/>
  <c r="G7" i="1" s="1"/>
  <c r="H6" i="1"/>
  <c r="F6" i="1"/>
  <c r="E6" i="1"/>
  <c r="D6" i="1"/>
  <c r="C6" i="1"/>
  <c r="G6" i="1" s="1"/>
  <c r="B6" i="1"/>
  <c r="H5" i="1"/>
  <c r="H11" i="1" s="1"/>
  <c r="G5" i="1"/>
  <c r="F5" i="1"/>
  <c r="E5" i="1"/>
  <c r="E11" i="1" s="1"/>
  <c r="D5" i="1"/>
  <c r="D11" i="1" s="1"/>
  <c r="C5" i="1"/>
  <c r="B5" i="1"/>
  <c r="B11" i="1" s="1"/>
  <c r="C11" i="1" l="1"/>
  <c r="G11" i="1" s="1"/>
  <c r="F11" i="1"/>
</calcChain>
</file>

<file path=xl/sharedStrings.xml><?xml version="1.0" encoding="utf-8"?>
<sst xmlns="http://schemas.openxmlformats.org/spreadsheetml/2006/main" count="1449" uniqueCount="573">
  <si>
    <t>Checklist SRS – Hệ thống Lớp học Đảo ngược kết hợp Trợ giảng AI</t>
  </si>
  <si>
    <t>Nguồn: SRS_Flipped_Classroom_AI.docx (31 use case, 6 vai trò). Cột "Hiện trạng" là đánh giá ban đầu từ code; "Kết quả kiểm tra" để bạn tự tick.</t>
  </si>
  <si>
    <t>Vai trò</t>
  </si>
  <si>
    <t>Số hạng mục</t>
  </si>
  <si>
    <t>Đã có</t>
  </si>
  <si>
    <t>Một phần</t>
  </si>
  <si>
    <t>Chưa có</t>
  </si>
  <si>
    <t>Cần kiểm tra</t>
  </si>
  <si>
    <t>% đã có (tính một phần = 0,5)</t>
  </si>
  <si>
    <t>Đã kiểm "Đạt"</t>
  </si>
  <si>
    <t>Sinh viên</t>
  </si>
  <si>
    <t>Giảng viên</t>
  </si>
  <si>
    <t>Trưởng nhóm HP</t>
  </si>
  <si>
    <t>Trưởng khoa</t>
  </si>
  <si>
    <t>Admin</t>
  </si>
  <si>
    <t>Hệ thống AI</t>
  </si>
  <si>
    <t>Tổng</t>
  </si>
  <si>
    <t>Đánh giá độ đủ của SRS</t>
  </si>
  <si>
    <t>Đủ tốt: 3 giai đoạn (trước – trong – sau lớp) + vòng lặp liên tục; 31 use case có Normal Flow, Precondition, Postcondition, ma trận Actor – Use Case, 8 NFR.</t>
  </si>
  <si>
    <t>Thiếu nặng: không có danh sách màn hình / wireframe; không có yêu cầu chất lượng và an toàn AI; M0–M3 chưa định nghĩa; chưa nói về quyền riêng tư dữ liệu gửi AI.</t>
  </si>
  <si>
    <t>Mâu thuẫn cần chốt: tự đăng ký vs Admin cấp tài khoản; AI chấm tự động hoàn toàn vs GV duyệt; luyện tập AI không giới hạn vs chi phí credit.</t>
  </si>
  <si>
    <t>Chi tiết: sheet 'SRS còn thiếu' (16 mục) và 'Hệ thống có, SRS chưa có' (10 tính năng nên bổ sung vào SRS).</t>
  </si>
  <si>
    <t>STT</t>
  </si>
  <si>
    <t>Mã</t>
  </si>
  <si>
    <t>Giai đoạn</t>
  </si>
  <si>
    <t>Use case</t>
  </si>
  <si>
    <t>Hạng mục kiểm tra</t>
  </si>
  <si>
    <t>Màn hình</t>
  </si>
  <si>
    <t>Ưu tiên (SRS)</t>
  </si>
  <si>
    <t>Hiện trạng hệ thống</t>
  </si>
  <si>
    <t>Ghi chú / vị trí</t>
  </si>
  <si>
    <t>Kết quả kiểm tra</t>
  </si>
  <si>
    <t>Người kiểm</t>
  </si>
  <si>
    <t>Ghi chú kiểm tra</t>
  </si>
  <si>
    <t>SV-01</t>
  </si>
  <si>
    <t>Chung</t>
  </si>
  <si>
    <t>UC-G04 Đăng nhập</t>
  </si>
  <si>
    <t>Đăng nhập bằng mã SV + mật khẩu</t>
  </si>
  <si>
    <t>Đăng nhập</t>
  </si>
  <si>
    <t>High</t>
  </si>
  <si>
    <t>Có trang đăng nhập; SRS yêu cầu đăng nhập bằng mã SV – cần kiểm tra trường đăng nhập</t>
  </si>
  <si>
    <t>Chưa kiểm</t>
  </si>
  <si>
    <t>SV-02</t>
  </si>
  <si>
    <t>Tài khoản do Admin cấp (không tự đăng ký)</t>
  </si>
  <si>
    <t>Hệ thống đang có trang Đăng ký tự do – khác SRS</t>
  </si>
  <si>
    <t>SV-03</t>
  </si>
  <si>
    <t>Đăng nhập lần đầu bắt buộc đổi mật khẩu mặc định (AF-2)</t>
  </si>
  <si>
    <t>Đổi mật khẩu</t>
  </si>
  <si>
    <t>SV-04</t>
  </si>
  <si>
    <t>Sai mật khẩu báo lỗi; quên mật khẩu → liên hệ Admin</t>
  </si>
  <si>
    <t>Có "Quên mật khẩu" qua OTP email – khác SRS (SRS: liên hệ Admin)</t>
  </si>
  <si>
    <t>SV-05</t>
  </si>
  <si>
    <t>Menu hiển thị theo role</t>
  </si>
  <si>
    <t>Sidebar</t>
  </si>
  <si>
    <t>Sidebar tách menu SV / GV</t>
  </si>
  <si>
    <t>SV-06</t>
  </si>
  <si>
    <t>Trước lớp</t>
  </si>
  <si>
    <t>UC-B01 Phiên tự học AI</t>
  </si>
  <si>
    <t>Danh sách Phiên tự học AI theo học phần</t>
  </si>
  <si>
    <t>Danh sách phiên</t>
  </si>
  <si>
    <t>Tab Tự học (study_hub)</t>
  </si>
  <si>
    <t>SV-07</t>
  </si>
  <si>
    <t>Tổng quan phiên: tên bài, tiến độ, thời hạn, trạng thái</t>
  </si>
  <si>
    <t>Tổng quan phiên</t>
  </si>
  <si>
    <t>study.js – trạng thái Chưa mở/Đang mở/Đã đóng</t>
  </si>
  <si>
    <t>SV-08</t>
  </si>
  <si>
    <t>Nút "Bắt đầu học" / "Tiếp tục"</t>
  </si>
  <si>
    <t>SV-09</t>
  </si>
  <si>
    <t>Hoàn thành 100% → "Completed", tính điểm tự học</t>
  </si>
  <si>
    <t>Có completed_at; điểm tự học theo công thức SRS chưa thấy</t>
  </si>
  <si>
    <t>SV-10</t>
  </si>
  <si>
    <t>AF-1: Hết hạn vẫn xem được nhưng không tính điểm</t>
  </si>
  <si>
    <t>Có "Cho phép học muộn" + completed_late</t>
  </si>
  <si>
    <t>SV-11</t>
  </si>
  <si>
    <t>AF-2: Đã hoàn thành vẫn vào xem lại để ôn</t>
  </si>
  <si>
    <t>SV-12</t>
  </si>
  <si>
    <t>UC-B02 Xem slide</t>
  </si>
  <si>
    <t>Hiển thị slide + nút Trang trước / Trang sau</t>
  </si>
  <si>
    <t>Học slide</t>
  </si>
  <si>
    <t>Trình đọc PDF</t>
  </si>
  <si>
    <t>SV-13</t>
  </si>
  <si>
    <t>Thanh danh sách slide (thumbnail) bên trái</t>
  </si>
  <si>
    <t>Hiện có danh sách tuần/tài liệu, chưa có thumbnail từng slide</t>
  </si>
  <si>
    <t>SV-14</t>
  </si>
  <si>
    <t>Ghi nhận slide đã xem để tính tiến độ</t>
  </si>
  <si>
    <t>MaterialProgress / StudyProgress</t>
  </si>
  <si>
    <t>SV-15</t>
  </si>
  <si>
    <t>Nút "Chat với AI" và "Hỏi trên lớp" dùng được mọi lúc</t>
  </si>
  <si>
    <t>SV-16</t>
  </si>
  <si>
    <t>UC-B03 Pre-class quiz</t>
  </si>
  <si>
    <t>Slide có quiz phải trả lời mới qua slide tiếp</t>
  </si>
  <si>
    <t>Phiên tự học: số câu bắt buộc/trang</t>
  </si>
  <si>
    <t>SV-17</t>
  </si>
  <si>
    <t>Trắc nghiệm A/B/C/D, bấm xác nhận</t>
  </si>
  <si>
    <t>SV-18</t>
  </si>
  <si>
    <t>Hiện đúng/sai + giải thích ngay</t>
  </si>
  <si>
    <t>SV-19</t>
  </si>
  <si>
    <t>AF-1: Sai vẫn cho đi tiếp nhưng ghi nhận</t>
  </si>
  <si>
    <t>SV-20</t>
  </si>
  <si>
    <t>UC-B04 Chat với AI</t>
  </si>
  <si>
    <t>Panel chat mở từ màn học slide</t>
  </si>
  <si>
    <t>Chat nổi, không làm co PDF</t>
  </si>
  <si>
    <t>SV-21</t>
  </si>
  <si>
    <t>Context = slide đang xem + toàn bộ học liệu lớp</t>
  </si>
  <si>
    <t>RAG ưu tiên trang đang xem</t>
  </si>
  <si>
    <t>SV-22</t>
  </si>
  <si>
    <t>Hỏi nhiều lượt (multi-turn)</t>
  </si>
  <si>
    <t>SV-23</t>
  </si>
  <si>
    <t>Lưu lịch sử chat</t>
  </si>
  <si>
    <t>SV-24</t>
  </si>
  <si>
    <t>Có thể kèm câu hỏi mở khuyến khích tư duy</t>
  </si>
  <si>
    <t>Không bắt buộc trong prompt</t>
  </si>
  <si>
    <t>SV-25</t>
  </si>
  <si>
    <t>AF-1: Đánh giá (rating/flag) câu trả lời</t>
  </si>
  <si>
    <t>Chấm sao + báo lỗi</t>
  </si>
  <si>
    <t>SV-26</t>
  </si>
  <si>
    <t>EX-1: Ngoài phạm vi → "hãy hỏi giảng viên"</t>
  </si>
  <si>
    <t>Chế độ insufficient / guardrail</t>
  </si>
  <si>
    <t>SV-27</t>
  </si>
  <si>
    <t>Disclaimer "Chat AI có thể mắc lỗi…"</t>
  </si>
  <si>
    <t>SV-28</t>
  </si>
  <si>
    <t>UC-B05 Đánh dấu kiến thức mờ</t>
  </si>
  <si>
    <t>Nút "Hỏi trên lớp" tại slide đang xem</t>
  </si>
  <si>
    <t>Medium</t>
  </si>
  <si>
    <t>Trong Phiên tự học</t>
  </si>
  <si>
    <t>SV-29</t>
  </si>
  <si>
    <t>Form tự gắn slide + ô nhập câu hỏi</t>
  </si>
  <si>
    <t>Modal</t>
  </si>
  <si>
    <t>SV-30</t>
  </si>
  <si>
    <t>Cập nhật số lượng kiến thức mờ</t>
  </si>
  <si>
    <t>SV-31</t>
  </si>
  <si>
    <t>UC-B06 Xem kiến thức mờ (SV)</t>
  </si>
  <si>
    <t>Popup "Kiến thức mờ (X)": nội dung, slide, ngày, trạng thái</t>
  </si>
  <si>
    <t>Popup</t>
  </si>
  <si>
    <t>SV-32</t>
  </si>
  <si>
    <t>Bấm mục để nhảy tới slide</t>
  </si>
  <si>
    <t>SV-33</t>
  </si>
  <si>
    <t>UC-B07 Câu hỏi luyện tập AI</t>
  </si>
  <si>
    <t>Nút "Tạo câu hỏi luyện tập", chọn phạm vi slide</t>
  </si>
  <si>
    <t>Luyện tập</t>
  </si>
  <si>
    <t>Hiện chỉ GV sinh câu hỏi AI</t>
  </si>
  <si>
    <t>SV-34</t>
  </si>
  <si>
    <t>AI sinh trắc nghiệm + điền trống kèm đáp án</t>
  </si>
  <si>
    <t>Có sẵn bộ sinh câu hỏi (question_gen) để tái sử dụng</t>
  </si>
  <si>
    <t>SV-35</t>
  </si>
  <si>
    <t>Quiz tương tác: đúng/sai + giải thích ngay; tổng kết; "Tạo bộ mới"</t>
  </si>
  <si>
    <t>SV-36</t>
  </si>
  <si>
    <t>Không tính điểm, không giới hạn lần</t>
  </si>
  <si>
    <t>Cần cân nhắc quota credit</t>
  </si>
  <si>
    <t>SV-37</t>
  </si>
  <si>
    <t>UC-B08 Tài liệu tham khảo</t>
  </si>
  <si>
    <t>Danh sách tài liệu: tên, mô tả, loại (File / Liên kết)</t>
  </si>
  <si>
    <t>Tài liệu TK</t>
  </si>
  <si>
    <t>Low</t>
  </si>
  <si>
    <t>Có tài liệu theo tuần (PDF/video); chưa có thư viện + liên kết</t>
  </si>
  <si>
    <t>SV-38</t>
  </si>
  <si>
    <t>File → tải/mở; Liên kết → mở tab mới</t>
  </si>
  <si>
    <t>SV-39</t>
  </si>
  <si>
    <t>Trên lớp</t>
  </si>
  <si>
    <t>UC-C02 Trả lời trên lớp</t>
  </si>
  <si>
    <t>Tham gia bằng mã phiên hoặc quét QR</t>
  </si>
  <si>
    <t>Tham gia</t>
  </si>
  <si>
    <t>Hiện vào qua menu "Hỏi trên lớp" của lớp</t>
  </si>
  <si>
    <t>SV-40</t>
  </si>
  <si>
    <t>Màn đếm ngược + 4 nút A/B/C/D + "Xác nhận"</t>
  </si>
  <si>
    <t>Trả lời</t>
  </si>
  <si>
    <t>live.js</t>
  </si>
  <si>
    <t>SV-41</t>
  </si>
  <si>
    <t>Đã gửi → "Đã gửi"; GV chuyển câu → tự cập nhật</t>
  </si>
  <si>
    <t>Polling 2 giây</t>
  </si>
  <si>
    <t>SV-42</t>
  </si>
  <si>
    <t>AF-1: Mã sai/hết hạn báo lỗi</t>
  </si>
  <si>
    <t>Phụ thuộc mã phiên</t>
  </si>
  <si>
    <t>SV-43</t>
  </si>
  <si>
    <t>AF-2: Vào giữa chừng vẫn trả lời nếu còn giờ</t>
  </si>
  <si>
    <t>SV-44</t>
  </si>
  <si>
    <t>AF-3: Hết giờ → ghi nhận "không trả lời"</t>
  </si>
  <si>
    <t>Chặn trả lời muộn; chưa lưu bản ghi "không trả lời"</t>
  </si>
  <si>
    <t>SV-45</t>
  </si>
  <si>
    <t>EX-1: Mất mạng, kết nối lại trước hết giờ vẫn trả lời</t>
  </si>
  <si>
    <t>Polling tự thử lại</t>
  </si>
  <si>
    <t>SV-46</t>
  </si>
  <si>
    <t>Giao diện tối ưu điện thoại</t>
  </si>
  <si>
    <t>Có CSS responsive; chưa kiểm trên máy thật</t>
  </si>
  <si>
    <t>SV-47</t>
  </si>
  <si>
    <t>Sau lớp</t>
  </si>
  <si>
    <t>UC-D01 Làm Bài tập AI</t>
  </si>
  <si>
    <t>Menu "Bài tập" ghi rõ "Tính điểm", tách với luyện tập</t>
  </si>
  <si>
    <t>DS bài tập</t>
  </si>
  <si>
    <t>Có tab Bài tập; chưa có nhãn "Tính điểm"</t>
  </si>
  <si>
    <t>SV-48</t>
  </si>
  <si>
    <t>Giao diện thi: câu hỏi + đồng hồ đếm ngược</t>
  </si>
  <si>
    <t>Làm bài</t>
  </si>
  <si>
    <t>SV-49</t>
  </si>
  <si>
    <t>Trắc nghiệm + điền trống + tự luận</t>
  </si>
  <si>
    <t>SV-50</t>
  </si>
  <si>
    <t>Chặn dán (paste)</t>
  </si>
  <si>
    <t>Tuỳ chọn "Không cho dán"</t>
  </si>
  <si>
    <t>SV-51</t>
  </si>
  <si>
    <t>Hết giờ tự nộp</t>
  </si>
  <si>
    <t>SV-52</t>
  </si>
  <si>
    <t>AI chấm tự động + giải thích + phản hồi cá nhân từng câu</t>
  </si>
  <si>
    <t>TN/điền từ chấm tự động; tự luận AI chấm nháp, GV duyệt (khác SRS)</t>
  </si>
  <si>
    <t>SV-53</t>
  </si>
  <si>
    <t>Giới hạn số lần làm</t>
  </si>
  <si>
    <t>SV-54</t>
  </si>
  <si>
    <t>UC-D02 Xem kết quả</t>
  </si>
  <si>
    <t>Điểm tổng, tỷ lệ đúng, số câu</t>
  </si>
  <si>
    <t>Kết quả</t>
  </si>
  <si>
    <t>Có điểm %; cần kiểm tra tỷ lệ đúng/số câu</t>
  </si>
  <si>
    <t>SV-55</t>
  </si>
  <si>
    <t>Từng câu: loại, Đúng/Sai, điểm, đáp án đúng, giải thích, phản hồi</t>
  </si>
  <si>
    <t>Có; phản hồi cá nhân AI mới có cho tự luận</t>
  </si>
  <si>
    <t>SV-56</t>
  </si>
  <si>
    <t>Hiện trạng thái + điểm mới của câu đã phúc khảo</t>
  </si>
  <si>
    <t>Chưa có phúc khảo</t>
  </si>
  <si>
    <t>SV-57</t>
  </si>
  <si>
    <t>UC-D03 Yêu cầu phúc khảo</t>
  </si>
  <si>
    <t>Nút "Yêu cầu phúc khảo" tại từng câu</t>
  </si>
  <si>
    <t>SV-58</t>
  </si>
  <si>
    <t>Form: câu hỏi, câu trả lời, điểm AI, lý do</t>
  </si>
  <si>
    <t>SV-59</t>
  </si>
  <si>
    <t>Lưu "Pending", GV nhận thông báo</t>
  </si>
  <si>
    <t>—</t>
  </si>
  <si>
    <t>SV-60</t>
  </si>
  <si>
    <t>UC-D05 Xem điểm</t>
  </si>
  <si>
    <t>Điểm tự học = phiên hoàn thành đúng hạn / tổng phiên × 10</t>
  </si>
  <si>
    <t>Điểm số</t>
  </si>
  <si>
    <t>Chưa thấy công thức này</t>
  </si>
  <si>
    <t>SV-61</t>
  </si>
  <si>
    <t>Điểm TB bài tập = TB cộng điểm Bài tập AI</t>
  </si>
  <si>
    <t>Trang Điểm hiện tính TB có trọng số điểm bài tập nộp file</t>
  </si>
  <si>
    <t>SV-62</t>
  </si>
  <si>
    <t>Chi tiết: danh sách phiên (đúng hạn/trễ/chưa), điểm từng bài</t>
  </si>
  <si>
    <t>SV-63</t>
  </si>
  <si>
    <t>Phản hồi</t>
  </si>
  <si>
    <t>UC-E01 Gửi phản hồi</t>
  </si>
  <si>
    <t>Chọn lớp, bài học, loại vấn đề (Bài giảng/Bài tập/Chat AI/Kỹ thuật/Khác)</t>
  </si>
  <si>
    <t>Hiện chỉ có phản hồi cho câu trả lời Chat AI</t>
  </si>
  <si>
    <t>SV-64</t>
  </si>
  <si>
    <t>Đính kèm tối đa 5 ảnh, tổng 5MB</t>
  </si>
  <si>
    <t>SV-65</t>
  </si>
  <si>
    <t>Lịch sử phản hồi: trạng thái + câu trả lời GV</t>
  </si>
  <si>
    <t>Có thông báo khi GV xử lý phản hồi AI</t>
  </si>
  <si>
    <t>GV-01</t>
  </si>
  <si>
    <t>Chuẩn bị</t>
  </si>
  <si>
    <t>UC-G02 Quản lý bài học</t>
  </si>
  <si>
    <t>Danh sách bài học trong lớp</t>
  </si>
  <si>
    <t>QL bài học</t>
  </si>
  <si>
    <t>Hệ thống tổ chức theo tuần + tài liệu, chưa có thực thể "bài học" riêng</t>
  </si>
  <si>
    <t>GV-02</t>
  </si>
  <si>
    <t>Tạo / sửa: tên bài học, thứ tự</t>
  </si>
  <si>
    <t>GV-03</t>
  </si>
  <si>
    <t>Xoá bài học khi chưa có dữ liệu SV</t>
  </si>
  <si>
    <t>GV-04</t>
  </si>
  <si>
    <t>UC-A01 Nội dung bài học</t>
  </si>
  <si>
    <t>Upload slide bài giảng</t>
  </si>
  <si>
    <t>Soạn nội dung</t>
  </si>
  <si>
    <t>Upload PDF, có phiên bản</t>
  </si>
  <si>
    <t>GV-05</t>
  </si>
  <si>
    <t>Danh sách slide bên trái, preview bên phải</t>
  </si>
  <si>
    <t>GV-06</t>
  </si>
  <si>
    <t>Thêm / xoá / sắp xếp từng slide</t>
  </si>
  <si>
    <t>Slide là 1 file PDF, không sửa từng trang</t>
  </si>
  <si>
    <t>GV-07</t>
  </si>
  <si>
    <t>Thêm video YouTube</t>
  </si>
  <si>
    <t>Có upload video; chưa có nhúng YouTube</t>
  </si>
  <si>
    <t>GV-08</t>
  </si>
  <si>
    <t>Tạo câu hỏi quiz gắn từng slide (4 đáp án, đáp án đúng, giải thích)</t>
  </si>
  <si>
    <t>DS câu hỏi</t>
  </si>
  <si>
    <t>Câu hỏi theo trang trong Phiên tự học</t>
  </si>
  <si>
    <t>GV-09</t>
  </si>
  <si>
    <t>"AI gợi ý câu hỏi" → GV rà soát, chỉnh sửa</t>
  </si>
  <si>
    <t>Có duyệt bắt buộc + bằng chứng</t>
  </si>
  <si>
    <t>GV-10</t>
  </si>
  <si>
    <t>AF-1: Import / export câu hỏi Excel/CSV</t>
  </si>
  <si>
    <t>GV-11</t>
  </si>
  <si>
    <t>Câu hỏi dùng lại cho poll trên lớp</t>
  </si>
  <si>
    <t>Hỏi trên lớp lấy từ phiên tự học / quiz</t>
  </si>
  <si>
    <t>GV-12</t>
  </si>
  <si>
    <t>UC-A02 Phiên tự học AI</t>
  </si>
  <si>
    <t>Đặt giờ bắt đầu – kết thúc</t>
  </si>
  <si>
    <t>Cài đặt phiên</t>
  </si>
  <si>
    <t>GV-13</t>
  </si>
  <si>
    <t>Tự Active khi đến giờ bắt đầu</t>
  </si>
  <si>
    <t>GV-14</t>
  </si>
  <si>
    <t>AF-1: Gia hạn thời gian</t>
  </si>
  <si>
    <t>Phiên đã công bố bị khoá cấu hình</t>
  </si>
  <si>
    <t>GV-15</t>
  </si>
  <si>
    <t>AF-2: Thiết lập nhiều phiên</t>
  </si>
  <si>
    <t>GV-16</t>
  </si>
  <si>
    <t>UC-A03 Bài tập AI</t>
  </si>
  <si>
    <t>Cấu hình tiêu đề, thời gian làm, mở – đóng</t>
  </si>
  <si>
    <t>Bài tập AI</t>
  </si>
  <si>
    <t>GV-17</t>
  </si>
  <si>
    <t>Bố cục theo loại câu + điểm (VD TN 16 câu – 8đ…)</t>
  </si>
  <si>
    <t>Có điểm từng câu; chưa có cấu hình bố cục tổng</t>
  </si>
  <si>
    <t>GV-18</t>
  </si>
  <si>
    <t>Chặn paste</t>
  </si>
  <si>
    <t>GV-19</t>
  </si>
  <si>
    <t>"Tạo đề mới" có AI hỗ trợ → GV rà soát</t>
  </si>
  <si>
    <t>AI sinh trắc nghiệm; chưa sinh điền từ/tự luận</t>
  </si>
  <si>
    <t>GV-20</t>
  </si>
  <si>
    <t>"Import đề"</t>
  </si>
  <si>
    <t>GV-21</t>
  </si>
  <si>
    <t>Nhiều đề, bật/tắt từng đề, ngẫu nhiên hoá</t>
  </si>
  <si>
    <t>GV-22</t>
  </si>
  <si>
    <t>UC-A04 Tài liệu tham khảo</t>
  </si>
  <si>
    <t>Thêm tài liệu: upload file hoặc dán liên kết</t>
  </si>
  <si>
    <t>QL tài liệu TK</t>
  </si>
  <si>
    <t>Có upload; chưa có liên kết</t>
  </si>
  <si>
    <t>GV-23</t>
  </si>
  <si>
    <t>Tiêu đề, mô tả ngắn; sắp xếp, sửa, xoá</t>
  </si>
  <si>
    <t>GV-24</t>
  </si>
  <si>
    <t>UC-C01 Chiếu câu hỏi</t>
  </si>
  <si>
    <t>Bấm "Hỏi trên lớp" → chọn câu hỏi, chọn lớp</t>
  </si>
  <si>
    <t>Màn chiếu</t>
  </si>
  <si>
    <t>Tạo phiên Hỏi trên lớp theo lớp</t>
  </si>
  <si>
    <t>GV-25</t>
  </si>
  <si>
    <t>Màn chiếu: câu hỏi + 4 đáp án + đếm ngược</t>
  </si>
  <si>
    <t>Có nút Toàn màn hình</t>
  </si>
  <si>
    <t>GV-26</t>
  </si>
  <si>
    <t>Mã phiên (số ngắn) + mã QR</t>
  </si>
  <si>
    <t>GV-27</t>
  </si>
  <si>
    <t>"Đổi câu hỏi" chuyển câu</t>
  </si>
  <si>
    <t>"Câu tiếp"</t>
  </si>
  <si>
    <t>GV-28</t>
  </si>
  <si>
    <t>Hết giờ hoặc tất cả đã trả lời → hiện kết quả</t>
  </si>
  <si>
    <t>GV bấm "Hiện đáp án"; chưa tự động</t>
  </si>
  <si>
    <t>GV-29</t>
  </si>
  <si>
    <t>UC-C03 Kết quả real-time</t>
  </si>
  <si>
    <t>Số SV đã trả lời</t>
  </si>
  <si>
    <t>GV-30</t>
  </si>
  <si>
    <t>Phân bố từng đáp án, tỷ lệ đúng</t>
  </si>
  <si>
    <t>Biểu đồ thanh</t>
  </si>
  <si>
    <t>GV-31</t>
  </si>
  <si>
    <t>UC-C04 Kiến thức mờ (GV)</t>
  </si>
  <si>
    <t>Popup danh sách, gom theo slide + số lượng</t>
  </si>
  <si>
    <t>Có số thắc mắc chưa giải đáp theo trang trong báo cáo phiên</t>
  </si>
  <si>
    <t>GV-32</t>
  </si>
  <si>
    <t>Đánh dấu "Đã giải thích" từng mục hoặc cả nhóm</t>
  </si>
  <si>
    <t>Có trường resolved_at</t>
  </si>
  <si>
    <t>GV-33</t>
  </si>
  <si>
    <t>Giám sát</t>
  </si>
  <si>
    <t>UC-F01 Dashboard</t>
  </si>
  <si>
    <t>Tiến độ tự học từng SV (tên, email, bài, % hoàn thành)</t>
  </si>
  <si>
    <t>Dashboard</t>
  </si>
  <si>
    <t>Báo cáo phiên tự học + CSV</t>
  </si>
  <si>
    <t>GV-34</t>
  </si>
  <si>
    <t>Kết quả bài tập: điểm, % đúng, thời gian nộp</t>
  </si>
  <si>
    <t>GV-35</t>
  </si>
  <si>
    <t>Tương tác: Chat AI, quiz trên lớp, phản hồi</t>
  </si>
  <si>
    <t>Có dữ liệu, chưa gom vào một dashboard</t>
  </si>
  <si>
    <t>GV-36</t>
  </si>
  <si>
    <t>Phân tích AI: nội dung sai nhiều, đề xuất</t>
  </si>
  <si>
    <t>Gợi ý buổi học (AI)</t>
  </si>
  <si>
    <t>GV-37</t>
  </si>
  <si>
    <t>Cảnh báo SV tiến độ thấp / điểm dưới ngưỡng</t>
  </si>
  <si>
    <t>Trang Cảnh báo + nút Nhắc</t>
  </si>
  <si>
    <t>GV-38</t>
  </si>
  <si>
    <t>UC-G01 Xem và xuất điểm</t>
  </si>
  <si>
    <t>Bảng: STT, Mã SV, Họ đệm, Tên, Điểm tự học, Điểm TB bài tập</t>
  </si>
  <si>
    <t>Bảng điểm</t>
  </si>
  <si>
    <t>GV-39</t>
  </si>
  <si>
    <t>Xuất Excel</t>
  </si>
  <si>
    <t>Có xuất CSV ở báo cáo phiên tự học</t>
  </si>
  <si>
    <t>GV-40</t>
  </si>
  <si>
    <t>UC-E02 Xử lý phản hồi</t>
  </si>
  <si>
    <t>Danh sách: thời gian, loại, trạng thái</t>
  </si>
  <si>
    <t>Trang Phản hồi AI (chỉ phản hồi Chat AI)</t>
  </si>
  <si>
    <t>GV-41</t>
  </si>
  <si>
    <t>Chi tiết: lớp, bài, SV, mô tả, ảnh; trả lời; "Đã xử lý"</t>
  </si>
  <si>
    <t>GV-42</t>
  </si>
  <si>
    <t>UC-D04 Xử lý phúc khảo</t>
  </si>
  <si>
    <t>Danh sách phúc khảo: SV, bài, câu, trạng thái</t>
  </si>
  <si>
    <t>Phúc khảo</t>
  </si>
  <si>
    <t>GV-43</t>
  </si>
  <si>
    <t>Giữ nguyên (ghi lý do) hoặc chấm lại → tính lại điểm TB</t>
  </si>
  <si>
    <t>Đã có cơ chế chấm lại tự luận + tính lại điểm</t>
  </si>
  <si>
    <t>GV-44</t>
  </si>
  <si>
    <t>SV nhận thông báo kết quả</t>
  </si>
  <si>
    <t>TN-01</t>
  </si>
  <si>
    <t>Đăng nhập với role CourseLeader</t>
  </si>
  <si>
    <t>Hệ thống chưa có role này</t>
  </si>
  <si>
    <t>TN-02</t>
  </si>
  <si>
    <t>UC-A05 Chuẩn hoá học liệu</t>
  </si>
  <si>
    <t>Danh sách các lớp cùng học phần</t>
  </si>
  <si>
    <t>Chuẩn hoá</t>
  </si>
  <si>
    <t>TN-03</t>
  </si>
  <si>
    <t>Rà soát slide, quiz, đề bài tập từng lớp</t>
  </si>
  <si>
    <t>TN-04</t>
  </si>
  <si>
    <t>So sánh giữa các lớp, yêu cầu GV điều chỉnh</t>
  </si>
  <si>
    <t>TN-05</t>
  </si>
  <si>
    <t>Cụ thể hoá mức xử lý M0–M3</t>
  </si>
  <si>
    <t>SRS chưa định nghĩa M0–M3</t>
  </si>
  <si>
    <t>TN-06</t>
  </si>
  <si>
    <t>Đánh dấu "Hoàn thành chuẩn hoá"</t>
  </si>
  <si>
    <t>TN-07</t>
  </si>
  <si>
    <t>AF-1: Sửa trực tiếp nội dung nếu có quyền</t>
  </si>
  <si>
    <t>TN-08</t>
  </si>
  <si>
    <t>UC-A01/A03/A04 (phụ)</t>
  </si>
  <si>
    <t>Tạo / sửa nội dung, bài tập, tài liệu như GV</t>
  </si>
  <si>
    <t>Như GV</t>
  </si>
  <si>
    <t>TK-01</t>
  </si>
  <si>
    <t>Đăng nhập với role Dean</t>
  </si>
  <si>
    <t>TK-02</t>
  </si>
  <si>
    <t>UC-F01 Dashboard khoa</t>
  </si>
  <si>
    <t>Tổng quan toàn khoa</t>
  </si>
  <si>
    <t>Dashboard khoa</t>
  </si>
  <si>
    <t>TK-03</t>
  </si>
  <si>
    <t>Drill-down: học phần → lớp</t>
  </si>
  <si>
    <t>TK-04</t>
  </si>
  <si>
    <t>Mức hoàn thành, cảnh báo SV yếu toàn khoa</t>
  </si>
  <si>
    <t>Có thể tái dùng logic Cảnh báo sớm theo lớp</t>
  </si>
  <si>
    <t>AD-01</t>
  </si>
  <si>
    <t>Đăng nhập Admin</t>
  </si>
  <si>
    <t>Có Django admin</t>
  </si>
  <si>
    <t>AD-02</t>
  </si>
  <si>
    <t>Quản lý</t>
  </si>
  <si>
    <t>UC-G05 Tài khoản</t>
  </si>
  <si>
    <t>Import SV từ Excel (Mã SV, Họ tên, Email) → mật khẩu mặc định</t>
  </si>
  <si>
    <t>QL tài khoản</t>
  </si>
  <si>
    <t>Có lệnh import dữ liệu VJU, chưa có giao diện</t>
  </si>
  <si>
    <t>AD-03</t>
  </si>
  <si>
    <t>Import GV từ Excel (Mã GV, Họ tên, Email, Khoa)</t>
  </si>
  <si>
    <t>AD-04</t>
  </si>
  <si>
    <t>Gán role CourseLeader / Dean</t>
  </si>
  <si>
    <t>AD-05</t>
  </si>
  <si>
    <t>Reset mật khẩu về mặc định</t>
  </si>
  <si>
    <t>Qua Django admin</t>
  </si>
  <si>
    <t>AD-06</t>
  </si>
  <si>
    <t>Vô hiệu hoá tài khoản (không xoá dữ liệu)</t>
  </si>
  <si>
    <t>Qua Django admin (is_active)</t>
  </si>
  <si>
    <t>AD-07</t>
  </si>
  <si>
    <t>UC-G06 Học phần &amp; lớp</t>
  </si>
  <si>
    <t>Tạo / sửa học phần (Mã, Tên, Khoa)</t>
  </si>
  <si>
    <t>QL học phần</t>
  </si>
  <si>
    <t>GV tự tạo lớp; chưa có thực thể học phần riêng</t>
  </si>
  <si>
    <t>AD-08</t>
  </si>
  <si>
    <t>Tạo lớp (Tên, Học kỳ, Năm học, Đợt)</t>
  </si>
  <si>
    <t>Có học kỳ / năm học</t>
  </si>
  <si>
    <t>AD-09</t>
  </si>
  <si>
    <t>Gán GV, gán Trưởng nhóm HP</t>
  </si>
  <si>
    <t>Gán GV có; Trưởng nhóm chưa</t>
  </si>
  <si>
    <t>AD-10</t>
  </si>
  <si>
    <t>Import danh sách SV vào lớp</t>
  </si>
  <si>
    <t>AI-01</t>
  </si>
  <si>
    <t>UC-B04 (phụ)</t>
  </si>
  <si>
    <t>Trả lời chatbot có trích dẫn từ học liệu</t>
  </si>
  <si>
    <t>RAG + kiểm tra trích dẫn + guardrail</t>
  </si>
  <si>
    <t>AI-02</t>
  </si>
  <si>
    <t>UC-B07 (phụ)</t>
  </si>
  <si>
    <t>Sinh câu hỏi luyện tập từ slide</t>
  </si>
  <si>
    <t>Có cho GV; chưa mở cho SV</t>
  </si>
  <si>
    <t>AI-03</t>
  </si>
  <si>
    <t>UC-D01 (phụ)</t>
  </si>
  <si>
    <t>Chấm bài tự động + giải thích + phản hồi cá nhân</t>
  </si>
  <si>
    <t>Tự luận: AI chấm nháp, GV duyệt</t>
  </si>
  <si>
    <t>AI-04</t>
  </si>
  <si>
    <t>UC-F01 (phụ)</t>
  </si>
  <si>
    <t>Phân tích dữ liệu, nhận diện vùng yếu, đề xuất</t>
  </si>
  <si>
    <t>Gợi ý buổi học, hồ sơ người học, cảnh báo sớm</t>
  </si>
  <si>
    <t>AI-05</t>
  </si>
  <si>
    <t>UC-G03 Nhắc deadline</t>
  </si>
  <si>
    <t>Quét deadline phiên tự học / bài tập 24 giờ trước</t>
  </si>
  <si>
    <t>Cron</t>
  </si>
  <si>
    <t>Có thông báo trong hệ thống (sync_learning_notifications)</t>
  </si>
  <si>
    <t>AI-06</t>
  </si>
  <si>
    <t>Gửi email: tên SV, lớp, bài, hạn, tiến độ</t>
  </si>
  <si>
    <t>Email</t>
  </si>
  <si>
    <t>AI-07</t>
  </si>
  <si>
    <t>Lưu bản ghi nhắc nhở</t>
  </si>
  <si>
    <t>Notification có event_key</t>
  </si>
  <si>
    <t>Yêu cầu</t>
  </si>
  <si>
    <t>Loại</t>
  </si>
  <si>
    <t>Ghi chú</t>
  </si>
  <si>
    <t>NFR-01</t>
  </si>
  <si>
    <t>Tối thiểu 500 người dùng đồng thời</t>
  </si>
  <si>
    <t>Performance</t>
  </si>
  <si>
    <t>Chưa kiểm thử tải; đang dùng SQLite khi chạy local</t>
  </si>
  <si>
    <t>NFR-02</t>
  </si>
  <si>
    <t>Xem slide, trả lời quiz ≤ 2 giây</t>
  </si>
  <si>
    <t>NFR-03</t>
  </si>
  <si>
    <t>AI chấm tự luận ≤ 30 giây/bài</t>
  </si>
  <si>
    <t>Chạy thật ~5–8 giây/bài</t>
  </si>
  <si>
    <t>NFR-04</t>
  </si>
  <si>
    <t>Uptime ≥ 99,5%, 24/7</t>
  </si>
  <si>
    <t>Availability</t>
  </si>
  <si>
    <t>Phụ thuộc triển khai</t>
  </si>
  <si>
    <t>NFR-05</t>
  </si>
  <si>
    <t>Responsive máy tính + điện thoại</t>
  </si>
  <si>
    <t>Usability</t>
  </si>
  <si>
    <t>NFR-06</t>
  </si>
  <si>
    <t>Mã hoá khi truyền (HTTPS/TLS) và khi lưu</t>
  </si>
  <si>
    <t>Security</t>
  </si>
  <si>
    <t>NFR-07</t>
  </si>
  <si>
    <t>Mở rộng thêm ngành / học phần</t>
  </si>
  <si>
    <t>Scalability</t>
  </si>
  <si>
    <t>NFR-08</t>
  </si>
  <si>
    <t>Disclaimer Chat AI</t>
  </si>
  <si>
    <t>Compliance</t>
  </si>
  <si>
    <t>Mức độ</t>
  </si>
  <si>
    <t>Nhóm</t>
  </si>
  <si>
    <t>Vấn đề trong SRS</t>
  </si>
  <si>
    <t>Đề xuất bổ sung</t>
  </si>
  <si>
    <t>Đã bổ sung vào SRS?</t>
  </si>
  <si>
    <t>Cao</t>
  </si>
  <si>
    <t>Giao diện</t>
  </si>
  <si>
    <t>Không có danh sách màn hình / sitemap / wireframe; UI chỉ nằm rải rác trong Normal Flow</t>
  </si>
  <si>
    <t>Thêm mục "UI Screen Inventory": ~27 màn hình chính + 6 popup, ghi UC liên quan</t>
  </si>
  <si>
    <t>Chưa</t>
  </si>
  <si>
    <t>AI</t>
  </si>
  <si>
    <t>Không có yêu cầu chất lượng AI: độ đúng, bám nguồn, trích dẫn, tỉ lệ bịa</t>
  </si>
  <si>
    <t>Thêm NFR AI dựa trên docs/eval/TIEU_CHI_DANH_GIA_AI.md (Q1–Q6, S1–S3)</t>
  </si>
  <si>
    <t>Không quy định chống làm bài hộ / lộ đáp án quiz khi sinh viên hỏi Chat AI</t>
  </si>
  <si>
    <t>Thêm Business Rule: Chat AI không giải bài tập/quiz đang mở cho sinh viên</t>
  </si>
  <si>
    <t>BR-02 cho AI chấm tự động hoàn toàn; không có người duyệt trước khi công bố điểm tự luận</t>
  </si>
  <si>
    <t>Cân nhắc: AI chấm nháp – GV duyệt (hệ thống hiện làm vậy) hoặc ghi rõ ngưỡng cần duyệt</t>
  </si>
  <si>
    <t>Nghiệp vụ</t>
  </si>
  <si>
    <t>M0–M3 được nhắc trong BR-07, UC-A05 nhưng không định nghĩa</t>
  </si>
  <si>
    <t>Định nghĩa từng mức xử lý kết quả Bài tập AI</t>
  </si>
  <si>
    <t>Dữ liệu</t>
  </si>
  <si>
    <t>Không có yêu cầu quyền riêng tư: dữ liệu SV gửi lên AI bên ngoài, lưu lịch sử chat bao lâu</t>
  </si>
  <si>
    <t>Thêm NFR: ẩn danh khi gửi AI, thời hạn lưu, SV xem/xoá dữ liệu cá nhân hoá</t>
  </si>
  <si>
    <t>Trung bình</t>
  </si>
  <si>
    <t>Không có giới hạn chi phí AI (quota lượt hỏi/ngày, ngân sách credit)</t>
  </si>
  <si>
    <t>Thêm NFR quota và theo dõi chi phí (hệ thống đã có: 40 lượt/SV/ngày, trang Thống kê AI)</t>
  </si>
  <si>
    <t>Không quy định nội dung AI sinh (câu hỏi, đề) phải được GV duyệt</t>
  </si>
  <si>
    <t>Thêm BR: nội dung AI sinh cần duyệt trước khi SV thấy</t>
  </si>
  <si>
    <t>Khái niệm "bài học", "phiên tự học", "slide" chưa có quan hệ rõ (1 bài học có mấy phiên?)</t>
  </si>
  <si>
    <t>Thêm sơ đồ thực thể / glossary</t>
  </si>
  <si>
    <t>UC-B07 (luyện tập không giới hạn) mâu thuẫn với chi phí AI</t>
  </si>
  <si>
    <t>Giới hạn số bộ/ngày hoặc dùng ngân hàng câu hỏi có sẵn</t>
  </si>
  <si>
    <t>Không mô tả trạng thái lỗi / rỗng / đang tải cho từng màn</t>
  </si>
  <si>
    <t>Bổ sung empty/error/loading states</t>
  </si>
  <si>
    <t>Thông báo</t>
  </si>
  <si>
    <t>Chỉ có email (UC-G03); không có thông báo trong hệ thống, không có thông báo cho GV khi có phúc khảo/phản hồi (chỉ ghi "GV nhận thông báo")</t>
  </si>
  <si>
    <t>Định nghĩa kênh thông báo (in-app, email) cho từng sự kiện</t>
  </si>
  <si>
    <t>Bảo mật</t>
  </si>
  <si>
    <t>Không có yêu cầu nhật ký kiểm toán (ai sửa điểm, ai công bố)</t>
  </si>
  <si>
    <t>Thêm audit log cho thao tác điểm số, phúc khảo</t>
  </si>
  <si>
    <t>Thấp</t>
  </si>
  <si>
    <t>Trưởng khoa không có UC riêng (chỉ dùng chung UC-F01)</t>
  </si>
  <si>
    <t>Tách UC dashboard khoa: chỉ số, ngưỡng cảnh báo</t>
  </si>
  <si>
    <t>NFR</t>
  </si>
  <si>
    <t>NFR-02 chỉ có giới hạn cho xem slide/quiz; không có giới hạn thời gian phản hồi Chat AI</t>
  </si>
  <si>
    <t>Thêm: chữ đầu tiên ≤ 4–6 giây, tổng ≤ 20 giây (p95)</t>
  </si>
  <si>
    <t>Khả năng tiếp cận</t>
  </si>
  <si>
    <t>Không có yêu cầu accessibility (bàn phím, trình đọc màn hình, TTS)</t>
  </si>
  <si>
    <t>Thêm NFR accessibility (WCAG AA)</t>
  </si>
  <si>
    <t>Tính năng</t>
  </si>
  <si>
    <t>Mô tả</t>
  </si>
  <si>
    <t>Đưa vào SRS?</t>
  </si>
  <si>
    <t>Bài giảng AI</t>
  </si>
  <si>
    <t>Giải thích từng trang slide do AI soạn, GV duyệt/công bố; mục lục video có mốc thời gian</t>
  </si>
  <si>
    <t>Nghe bài giảng</t>
  </si>
  <si>
    <t>Đọc to Bài giảng AI (Web Speech), tốc độ, tự sang trang</t>
  </si>
  <si>
    <t>Cá nhân hoá</t>
  </si>
  <si>
    <t>Hồ sơ người học gửi kèm Chat AI, ô "AI biết gì về em?", tắt cá nhân hoá, trang nên xem lại</t>
  </si>
  <si>
    <t>Cảnh báo sớm</t>
  </si>
  <si>
    <t>Trang Cảnh báo học tập + nút Nhắc + xuất CSV</t>
  </si>
  <si>
    <t>Gợi ý buổi học</t>
  </si>
  <si>
    <t>AI gợi ý chủ đề khó, câu thảo luận, hoạt động cho buổi học trên lớp</t>
  </si>
  <si>
    <t>Thống kê AI</t>
  </si>
  <si>
    <t>Lần gọi, token theo tính năng/model/ngày; xuất CSV</t>
  </si>
  <si>
    <t>Đánh chỉ mục AI</t>
  </si>
  <si>
    <t>Đánh chỉ mục PDF (chữ + mô tả hình) và video (chép lời) khi công bố</t>
  </si>
  <si>
    <t>Video</t>
  </si>
  <si>
    <t>Chat AI trích dẫn mốc giây trong video, bấm để tua</t>
  </si>
  <si>
    <t>Công thức</t>
  </si>
  <si>
    <t>Hiển thị công thức LaTeX (KaTeX) trong mọi nội dung AI</t>
  </si>
  <si>
    <t>Tracing</t>
  </si>
  <si>
    <t>Phoenix tracing cho pipeline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</si>
</sst>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AB2523"/>
      <name val="Calibri"/>
    </font>
    <font>
      <b/>
      <sz val="11"/>
      <name val="Calibri"/>
    </font>
    <font>
      <b/>
      <sz val="12"/>
      <color rgb="FFAB252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AB2523"/>
      </patternFill>
    </fill>
    <fill>
      <patternFill patternType="solid">
        <fgColor rgb="FFE3F4E8"/>
      </patternFill>
    </fill>
    <fill>
      <patternFill patternType="solid">
        <fgColor rgb="FFFDF3E1"/>
      </patternFill>
    </fill>
    <fill>
      <patternFill patternType="solid">
        <fgColor rgb="FFFBE9E8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9" fontId="3" fillId="0" borderId="1" xfId="0" applyNumberFormat="1" applyFont="1" applyBorder="1" applyAlignment="1">
      <alignment vertical="center" wrapText="1"/>
    </xf>
    <xf numFmtId="0" fontId="4" fillId="0" borderId="0" xfId="0" applyFont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43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DF3E1"/>
          <bgColor rgb="FFFDF3E1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E8EEF7"/>
          <bgColor rgb="FFE8EEF7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FDF3E1"/>
          <bgColor rgb="FFFDF3E1"/>
        </patternFill>
      </fill>
    </dxf>
    <dxf>
      <fill>
        <patternFill patternType="solid">
          <fgColor rgb="FFE3F4E8"/>
          <bgColor rgb="FFE3F4E8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E3F4E8"/>
          <bgColor rgb="FFE3F4E8"/>
        </patternFill>
      </fill>
    </dxf>
    <dxf>
      <fill>
        <patternFill patternType="solid">
          <fgColor rgb="FFE8EEF7"/>
          <bgColor rgb="FFE8EEF7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FDF3E1"/>
          <bgColor rgb="FFFDF3E1"/>
        </patternFill>
      </fill>
    </dxf>
    <dxf>
      <fill>
        <patternFill patternType="solid">
          <fgColor rgb="FFE3F4E8"/>
          <bgColor rgb="FFE3F4E8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E3F4E8"/>
          <bgColor rgb="FFE3F4E8"/>
        </patternFill>
      </fill>
    </dxf>
    <dxf>
      <fill>
        <patternFill patternType="solid">
          <fgColor rgb="FFE8EEF7"/>
          <bgColor rgb="FFE8EEF7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FDF3E1"/>
          <bgColor rgb="FFFDF3E1"/>
        </patternFill>
      </fill>
    </dxf>
    <dxf>
      <fill>
        <patternFill patternType="solid">
          <fgColor rgb="FFE3F4E8"/>
          <bgColor rgb="FFE3F4E8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E3F4E8"/>
          <bgColor rgb="FFE3F4E8"/>
        </patternFill>
      </fill>
    </dxf>
    <dxf>
      <fill>
        <patternFill patternType="solid">
          <fgColor rgb="FFE8EEF7"/>
          <bgColor rgb="FFE8EEF7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FDF3E1"/>
          <bgColor rgb="FFFDF3E1"/>
        </patternFill>
      </fill>
    </dxf>
    <dxf>
      <fill>
        <patternFill patternType="solid">
          <fgColor rgb="FFE3F4E8"/>
          <bgColor rgb="FFE3F4E8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E3F4E8"/>
          <bgColor rgb="FFE3F4E8"/>
        </patternFill>
      </fill>
    </dxf>
    <dxf>
      <fill>
        <patternFill patternType="solid">
          <fgColor rgb="FFE8EEF7"/>
          <bgColor rgb="FFE8EEF7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FDF3E1"/>
          <bgColor rgb="FFFDF3E1"/>
        </patternFill>
      </fill>
    </dxf>
    <dxf>
      <fill>
        <patternFill patternType="solid">
          <fgColor rgb="FFE3F4E8"/>
          <bgColor rgb="FFE3F4E8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E3F4E8"/>
          <bgColor rgb="FFE3F4E8"/>
        </patternFill>
      </fill>
    </dxf>
    <dxf>
      <fill>
        <patternFill patternType="solid">
          <fgColor rgb="FFE8EEF7"/>
          <bgColor rgb="FFE8EEF7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FDF3E1"/>
          <bgColor rgb="FFFDF3E1"/>
        </patternFill>
      </fill>
    </dxf>
    <dxf>
      <fill>
        <patternFill patternType="solid">
          <fgColor rgb="FFE3F4E8"/>
          <bgColor rgb="FFE3F4E8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E3F4E8"/>
          <bgColor rgb="FFE3F4E8"/>
        </patternFill>
      </fill>
    </dxf>
    <dxf>
      <fill>
        <patternFill patternType="solid">
          <fgColor rgb="FFE8EEF7"/>
          <bgColor rgb="FFE8EEF7"/>
        </patternFill>
      </fill>
    </dxf>
    <dxf>
      <fill>
        <patternFill patternType="solid">
          <fgColor rgb="FFFBE9E8"/>
          <bgColor rgb="FFFBE9E8"/>
        </patternFill>
      </fill>
    </dxf>
    <dxf>
      <fill>
        <patternFill patternType="solid">
          <fgColor rgb="FFFDF3E1"/>
          <bgColor rgb="FFFDF3E1"/>
        </patternFill>
      </fill>
    </dxf>
    <dxf>
      <fill>
        <patternFill patternType="solid">
          <fgColor rgb="FFE3F4E8"/>
          <bgColor rgb="FFE3F4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/>
  </sheetViews>
  <sheetFormatPr defaultRowHeight="14.6" x14ac:dyDescent="0.4"/>
  <cols>
    <col min="1" max="1" width="22" customWidth="1"/>
    <col min="2" max="2" width="12" customWidth="1"/>
    <col min="3" max="5" width="10" customWidth="1"/>
    <col min="6" max="6" width="13" customWidth="1"/>
    <col min="7" max="7" width="18" customWidth="1"/>
    <col min="8" max="8" width="14" customWidth="1"/>
  </cols>
  <sheetData>
    <row r="1" spans="1:8" ht="18.45" x14ac:dyDescent="0.5">
      <c r="A1" s="1" t="s">
        <v>0</v>
      </c>
    </row>
    <row r="2" spans="1:8" ht="32.049999999999997" customHeight="1" x14ac:dyDescent="0.4">
      <c r="A2" s="19" t="s">
        <v>1</v>
      </c>
      <c r="B2" s="18"/>
      <c r="C2" s="18"/>
      <c r="D2" s="18"/>
      <c r="E2" s="18"/>
      <c r="F2" s="18"/>
      <c r="G2" s="18"/>
      <c r="H2" s="18"/>
    </row>
    <row r="4" spans="1:8" ht="29.15" x14ac:dyDescent="0.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4">
      <c r="A5" s="3" t="s">
        <v>10</v>
      </c>
      <c r="B5" s="3">
        <f>COUNTA('Sinh viên'!E:E)-1</f>
        <v>65</v>
      </c>
      <c r="C5" s="4">
        <f>COUNTIF('Sinh viên'!H:H,"Đã có")</f>
        <v>29</v>
      </c>
      <c r="D5" s="5">
        <f>COUNTIF('Sinh viên'!H:H,"Một phần")</f>
        <v>18</v>
      </c>
      <c r="E5" s="6">
        <f>COUNTIF('Sinh viên'!H:H,"Chưa có")</f>
        <v>14</v>
      </c>
      <c r="F5" s="7">
        <f>COUNTIF('Sinh viên'!H:H,"Cần kiểm tra")</f>
        <v>4</v>
      </c>
      <c r="G5" s="8">
        <f t="shared" ref="G5:G11" si="0">IF(B5=0,0,(C5+0.5*D5)/B5)</f>
        <v>0.58461538461538465</v>
      </c>
      <c r="H5" s="3">
        <f>COUNTIF('Sinh viên'!J:J,"Đạt")</f>
        <v>0</v>
      </c>
    </row>
    <row r="6" spans="1:8" x14ac:dyDescent="0.4">
      <c r="A6" s="3" t="s">
        <v>11</v>
      </c>
      <c r="B6" s="3">
        <f>COUNTA('Giảng viên'!E:E)-1</f>
        <v>44</v>
      </c>
      <c r="C6" s="4">
        <f>COUNTIF('Giảng viên'!H:H,"Đã có")</f>
        <v>18</v>
      </c>
      <c r="D6" s="5">
        <f>COUNTIF('Giảng viên'!H:H,"Một phần")</f>
        <v>15</v>
      </c>
      <c r="E6" s="6">
        <f>COUNTIF('Giảng viên'!H:H,"Chưa có")</f>
        <v>8</v>
      </c>
      <c r="F6" s="7">
        <f>COUNTIF('Giảng viên'!H:H,"Cần kiểm tra")</f>
        <v>3</v>
      </c>
      <c r="G6" s="8">
        <f t="shared" si="0"/>
        <v>0.57954545454545459</v>
      </c>
      <c r="H6" s="3">
        <f>COUNTIF('Giảng viên'!J:J,"Đạt")</f>
        <v>0</v>
      </c>
    </row>
    <row r="7" spans="1:8" x14ac:dyDescent="0.4">
      <c r="A7" s="3" t="s">
        <v>12</v>
      </c>
      <c r="B7" s="3">
        <f>COUNTA('Trưởng nhóm HP'!E:E)-1</f>
        <v>8</v>
      </c>
      <c r="C7" s="4">
        <f>COUNTIF('Trưởng nhóm HP'!H:H,"Đã có")</f>
        <v>0</v>
      </c>
      <c r="D7" s="5">
        <f>COUNTIF('Trưởng nhóm HP'!H:H,"Một phần")</f>
        <v>0</v>
      </c>
      <c r="E7" s="6">
        <f>COUNTIF('Trưởng nhóm HP'!H:H,"Chưa có")</f>
        <v>8</v>
      </c>
      <c r="F7" s="7">
        <f>COUNTIF('Trưởng nhóm HP'!H:H,"Cần kiểm tra")</f>
        <v>0</v>
      </c>
      <c r="G7" s="8">
        <f t="shared" si="0"/>
        <v>0</v>
      </c>
      <c r="H7" s="3">
        <f>COUNTIF('Trưởng nhóm HP'!J:J,"Đạt")</f>
        <v>0</v>
      </c>
    </row>
    <row r="8" spans="1:8" x14ac:dyDescent="0.4">
      <c r="A8" s="3" t="s">
        <v>13</v>
      </c>
      <c r="B8" s="3">
        <f>COUNTA('Trưởng khoa'!E:E)-1</f>
        <v>4</v>
      </c>
      <c r="C8" s="4">
        <f>COUNTIF('Trưởng khoa'!H:H,"Đã có")</f>
        <v>0</v>
      </c>
      <c r="D8" s="5">
        <f>COUNTIF('Trưởng khoa'!H:H,"Một phần")</f>
        <v>0</v>
      </c>
      <c r="E8" s="6">
        <f>COUNTIF('Trưởng khoa'!H:H,"Chưa có")</f>
        <v>4</v>
      </c>
      <c r="F8" s="7">
        <f>COUNTIF('Trưởng khoa'!H:H,"Cần kiểm tra")</f>
        <v>0</v>
      </c>
      <c r="G8" s="8">
        <f t="shared" si="0"/>
        <v>0</v>
      </c>
      <c r="H8" s="3">
        <f>COUNTIF('Trưởng khoa'!J:J,"Đạt")</f>
        <v>0</v>
      </c>
    </row>
    <row r="9" spans="1:8" x14ac:dyDescent="0.4">
      <c r="A9" s="3" t="s">
        <v>14</v>
      </c>
      <c r="B9" s="3">
        <f>COUNTA(Admin!E:E)-1</f>
        <v>10</v>
      </c>
      <c r="C9" s="4">
        <f>COUNTIF(Admin!H:H,"Đã có")</f>
        <v>0</v>
      </c>
      <c r="D9" s="5">
        <f>COUNTIF(Admin!H:H,"Một phần")</f>
        <v>6</v>
      </c>
      <c r="E9" s="6">
        <f>COUNTIF(Admin!H:H,"Chưa có")</f>
        <v>4</v>
      </c>
      <c r="F9" s="7">
        <f>COUNTIF(Admin!H:H,"Cần kiểm tra")</f>
        <v>0</v>
      </c>
      <c r="G9" s="8">
        <f t="shared" si="0"/>
        <v>0.3</v>
      </c>
      <c r="H9" s="3">
        <f>COUNTIF(Admin!J:J,"Đạt")</f>
        <v>0</v>
      </c>
    </row>
    <row r="10" spans="1:8" x14ac:dyDescent="0.4">
      <c r="A10" s="3" t="s">
        <v>15</v>
      </c>
      <c r="B10" s="3">
        <f>COUNTA('Hệ thống AI'!E:E)-1</f>
        <v>7</v>
      </c>
      <c r="C10" s="4">
        <f>COUNTIF('Hệ thống AI'!H:H,"Đã có")</f>
        <v>2</v>
      </c>
      <c r="D10" s="5">
        <f>COUNTIF('Hệ thống AI'!H:H,"Một phần")</f>
        <v>4</v>
      </c>
      <c r="E10" s="6">
        <f>COUNTIF('Hệ thống AI'!H:H,"Chưa có")</f>
        <v>1</v>
      </c>
      <c r="F10" s="7">
        <f>COUNTIF('Hệ thống AI'!H:H,"Cần kiểm tra")</f>
        <v>0</v>
      </c>
      <c r="G10" s="8">
        <f t="shared" si="0"/>
        <v>0.5714285714285714</v>
      </c>
      <c r="H10" s="3">
        <f>COUNTIF('Hệ thống AI'!J:J,"Đạt")</f>
        <v>0</v>
      </c>
    </row>
    <row r="11" spans="1:8" x14ac:dyDescent="0.4">
      <c r="A11" s="9" t="s">
        <v>16</v>
      </c>
      <c r="B11" s="9">
        <f>SUM(B5:B10)</f>
        <v>138</v>
      </c>
      <c r="C11" s="10">
        <f>SUM(C5:C10)</f>
        <v>49</v>
      </c>
      <c r="D11" s="11">
        <f>SUM(D5:D10)</f>
        <v>43</v>
      </c>
      <c r="E11" s="12">
        <f>SUM(E5:E10)</f>
        <v>39</v>
      </c>
      <c r="F11" s="13">
        <f>SUM(F5:F10)</f>
        <v>7</v>
      </c>
      <c r="G11" s="14">
        <f t="shared" si="0"/>
        <v>0.51086956521739135</v>
      </c>
      <c r="H11" s="9">
        <f>SUM(H5:H10)</f>
        <v>0</v>
      </c>
    </row>
    <row r="13" spans="1:8" ht="15.9" x14ac:dyDescent="0.45">
      <c r="A13" s="15" t="s">
        <v>17</v>
      </c>
    </row>
    <row r="14" spans="1:8" ht="34" customHeight="1" x14ac:dyDescent="0.4">
      <c r="A14" s="17" t="s">
        <v>18</v>
      </c>
      <c r="B14" s="18"/>
      <c r="C14" s="18"/>
      <c r="D14" s="18"/>
      <c r="E14" s="18"/>
      <c r="F14" s="18"/>
      <c r="G14" s="18"/>
      <c r="H14" s="18"/>
    </row>
    <row r="15" spans="1:8" ht="34" customHeight="1" x14ac:dyDescent="0.4">
      <c r="A15" s="17" t="s">
        <v>19</v>
      </c>
      <c r="B15" s="18"/>
      <c r="C15" s="18"/>
      <c r="D15" s="18"/>
      <c r="E15" s="18"/>
      <c r="F15" s="18"/>
      <c r="G15" s="18"/>
      <c r="H15" s="18"/>
    </row>
    <row r="16" spans="1:8" ht="34" customHeight="1" x14ac:dyDescent="0.4">
      <c r="A16" s="17" t="s">
        <v>20</v>
      </c>
      <c r="B16" s="18"/>
      <c r="C16" s="18"/>
      <c r="D16" s="18"/>
      <c r="E16" s="18"/>
      <c r="F16" s="18"/>
      <c r="G16" s="18"/>
      <c r="H16" s="18"/>
    </row>
    <row r="17" spans="1:8" ht="34" customHeight="1" x14ac:dyDescent="0.4">
      <c r="A17" s="17" t="s">
        <v>21</v>
      </c>
      <c r="B17" s="18"/>
      <c r="C17" s="18"/>
      <c r="D17" s="18"/>
      <c r="E17" s="18"/>
      <c r="F17" s="18"/>
      <c r="G17" s="18"/>
      <c r="H17" s="18"/>
    </row>
  </sheetData>
  <mergeCells count="5">
    <mergeCell ref="A15:H15"/>
    <mergeCell ref="A16:H16"/>
    <mergeCell ref="A2:H2"/>
    <mergeCell ref="A14:H14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6"/>
  <sheetViews>
    <sheetView workbookViewId="0">
      <pane ySplit="1" topLeftCell="A2" activePane="bottomLeft" state="frozen"/>
      <selection pane="bottomLeft" activeCell="E15" sqref="E15"/>
    </sheetView>
  </sheetViews>
  <sheetFormatPr defaultRowHeight="14.6" x14ac:dyDescent="0.4"/>
  <cols>
    <col min="1" max="1" width="5" customWidth="1"/>
    <col min="2" max="2" width="8" customWidth="1"/>
    <col min="3" max="3" width="11" customWidth="1"/>
    <col min="4" max="4" width="26" customWidth="1"/>
    <col min="5" max="5" width="52" customWidth="1"/>
    <col min="6" max="6" width="15" customWidth="1"/>
    <col min="7" max="7" width="10" customWidth="1"/>
    <col min="8" max="8" width="15" customWidth="1"/>
    <col min="9" max="9" width="44" customWidth="1"/>
    <col min="10" max="11" width="14" customWidth="1"/>
    <col min="12" max="12" width="30" customWidth="1"/>
  </cols>
  <sheetData>
    <row r="1" spans="1:12" ht="29.15" x14ac:dyDescent="0.4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12" ht="29.15" x14ac:dyDescent="0.4">
      <c r="A2" s="16">
        <v>1</v>
      </c>
      <c r="B2" s="16" t="s">
        <v>34</v>
      </c>
      <c r="C2" s="16" t="s">
        <v>35</v>
      </c>
      <c r="D2" s="16" t="s">
        <v>36</v>
      </c>
      <c r="E2" s="16" t="s">
        <v>37</v>
      </c>
      <c r="F2" s="16" t="s">
        <v>38</v>
      </c>
      <c r="G2" s="16" t="s">
        <v>39</v>
      </c>
      <c r="H2" s="16" t="s">
        <v>5</v>
      </c>
      <c r="I2" s="16" t="s">
        <v>40</v>
      </c>
      <c r="J2" s="16" t="s">
        <v>41</v>
      </c>
      <c r="K2" s="16"/>
      <c r="L2" s="16"/>
    </row>
    <row r="3" spans="1:12" x14ac:dyDescent="0.4">
      <c r="A3" s="16">
        <v>2</v>
      </c>
      <c r="B3" s="16" t="s">
        <v>42</v>
      </c>
      <c r="C3" s="16" t="s">
        <v>35</v>
      </c>
      <c r="D3" s="16" t="s">
        <v>36</v>
      </c>
      <c r="E3" s="16" t="s">
        <v>43</v>
      </c>
      <c r="F3" s="16" t="s">
        <v>38</v>
      </c>
      <c r="G3" s="16" t="s">
        <v>39</v>
      </c>
      <c r="H3" s="16" t="s">
        <v>5</v>
      </c>
      <c r="I3" s="16" t="s">
        <v>44</v>
      </c>
      <c r="J3" s="16" t="s">
        <v>41</v>
      </c>
      <c r="K3" s="16"/>
      <c r="L3" s="16"/>
    </row>
    <row r="4" spans="1:12" x14ac:dyDescent="0.4">
      <c r="A4" s="16">
        <v>3</v>
      </c>
      <c r="B4" s="16" t="s">
        <v>45</v>
      </c>
      <c r="C4" s="16" t="s">
        <v>35</v>
      </c>
      <c r="D4" s="16" t="s">
        <v>36</v>
      </c>
      <c r="E4" s="16" t="s">
        <v>46</v>
      </c>
      <c r="F4" s="16" t="s">
        <v>47</v>
      </c>
      <c r="G4" s="16" t="s">
        <v>39</v>
      </c>
      <c r="H4" s="16" t="s">
        <v>6</v>
      </c>
      <c r="I4" s="16"/>
      <c r="J4" s="16" t="s">
        <v>41</v>
      </c>
      <c r="K4" s="16"/>
      <c r="L4" s="16"/>
    </row>
    <row r="5" spans="1:12" ht="29.15" x14ac:dyDescent="0.4">
      <c r="A5" s="16">
        <v>4</v>
      </c>
      <c r="B5" s="16" t="s">
        <v>48</v>
      </c>
      <c r="C5" s="16" t="s">
        <v>35</v>
      </c>
      <c r="D5" s="16" t="s">
        <v>36</v>
      </c>
      <c r="E5" s="16" t="s">
        <v>49</v>
      </c>
      <c r="F5" s="16" t="s">
        <v>38</v>
      </c>
      <c r="G5" s="16" t="s">
        <v>39</v>
      </c>
      <c r="H5" s="16" t="s">
        <v>5</v>
      </c>
      <c r="I5" s="16" t="s">
        <v>50</v>
      </c>
      <c r="J5" s="16" t="s">
        <v>41</v>
      </c>
      <c r="K5" s="16"/>
      <c r="L5" s="16"/>
    </row>
    <row r="6" spans="1:12" x14ac:dyDescent="0.4">
      <c r="A6" s="16">
        <v>5</v>
      </c>
      <c r="B6" s="16" t="s">
        <v>51</v>
      </c>
      <c r="C6" s="16" t="s">
        <v>35</v>
      </c>
      <c r="D6" s="16" t="s">
        <v>36</v>
      </c>
      <c r="E6" s="16" t="s">
        <v>52</v>
      </c>
      <c r="F6" s="16" t="s">
        <v>53</v>
      </c>
      <c r="G6" s="16" t="s">
        <v>39</v>
      </c>
      <c r="H6" s="16" t="s">
        <v>4</v>
      </c>
      <c r="I6" s="16" t="s">
        <v>54</v>
      </c>
      <c r="J6" s="16" t="s">
        <v>41</v>
      </c>
      <c r="K6" s="16"/>
      <c r="L6" s="16"/>
    </row>
    <row r="7" spans="1:12" x14ac:dyDescent="0.4">
      <c r="A7" s="16">
        <v>6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39</v>
      </c>
      <c r="H7" s="16" t="s">
        <v>4</v>
      </c>
      <c r="I7" s="16" t="s">
        <v>60</v>
      </c>
      <c r="J7" s="16" t="s">
        <v>41</v>
      </c>
      <c r="K7" s="16"/>
      <c r="L7" s="16"/>
    </row>
    <row r="8" spans="1:12" x14ac:dyDescent="0.4">
      <c r="A8" s="16">
        <v>7</v>
      </c>
      <c r="B8" s="16" t="s">
        <v>61</v>
      </c>
      <c r="C8" s="16" t="s">
        <v>56</v>
      </c>
      <c r="D8" s="16" t="s">
        <v>57</v>
      </c>
      <c r="E8" s="16" t="s">
        <v>62</v>
      </c>
      <c r="F8" s="16" t="s">
        <v>63</v>
      </c>
      <c r="G8" s="16" t="s">
        <v>39</v>
      </c>
      <c r="H8" s="16" t="s">
        <v>4</v>
      </c>
      <c r="I8" s="16" t="s">
        <v>64</v>
      </c>
      <c r="J8" s="16" t="s">
        <v>41</v>
      </c>
      <c r="K8" s="16"/>
      <c r="L8" s="16"/>
    </row>
    <row r="9" spans="1:12" x14ac:dyDescent="0.4">
      <c r="A9" s="16">
        <v>8</v>
      </c>
      <c r="B9" s="16" t="s">
        <v>65</v>
      </c>
      <c r="C9" s="16" t="s">
        <v>56</v>
      </c>
      <c r="D9" s="16" t="s">
        <v>57</v>
      </c>
      <c r="E9" s="16" t="s">
        <v>66</v>
      </c>
      <c r="F9" s="16" t="s">
        <v>63</v>
      </c>
      <c r="G9" s="16" t="s">
        <v>39</v>
      </c>
      <c r="H9" s="16" t="s">
        <v>4</v>
      </c>
      <c r="I9" s="16"/>
      <c r="J9" s="16" t="s">
        <v>41</v>
      </c>
      <c r="K9" s="16"/>
      <c r="L9" s="16"/>
    </row>
    <row r="10" spans="1:12" ht="29.15" x14ac:dyDescent="0.4">
      <c r="A10" s="16">
        <v>9</v>
      </c>
      <c r="B10" s="16" t="s">
        <v>67</v>
      </c>
      <c r="C10" s="16" t="s">
        <v>56</v>
      </c>
      <c r="D10" s="16" t="s">
        <v>57</v>
      </c>
      <c r="E10" s="16" t="s">
        <v>68</v>
      </c>
      <c r="F10" s="16" t="s">
        <v>63</v>
      </c>
      <c r="G10" s="16" t="s">
        <v>39</v>
      </c>
      <c r="H10" s="16" t="s">
        <v>5</v>
      </c>
      <c r="I10" s="16" t="s">
        <v>69</v>
      </c>
      <c r="J10" s="16" t="s">
        <v>41</v>
      </c>
      <c r="K10" s="16"/>
      <c r="L10" s="16"/>
    </row>
    <row r="11" spans="1:12" x14ac:dyDescent="0.4">
      <c r="A11" s="16">
        <v>10</v>
      </c>
      <c r="B11" s="16" t="s">
        <v>70</v>
      </c>
      <c r="C11" s="16" t="s">
        <v>56</v>
      </c>
      <c r="D11" s="16" t="s">
        <v>57</v>
      </c>
      <c r="E11" s="16" t="s">
        <v>71</v>
      </c>
      <c r="F11" s="16" t="s">
        <v>63</v>
      </c>
      <c r="G11" s="16" t="s">
        <v>39</v>
      </c>
      <c r="H11" s="16" t="s">
        <v>5</v>
      </c>
      <c r="I11" s="16" t="s">
        <v>72</v>
      </c>
      <c r="J11" s="16" t="s">
        <v>41</v>
      </c>
      <c r="K11" s="16"/>
      <c r="L11" s="16"/>
    </row>
    <row r="12" spans="1:12" x14ac:dyDescent="0.4">
      <c r="A12" s="16">
        <v>11</v>
      </c>
      <c r="B12" s="16" t="s">
        <v>73</v>
      </c>
      <c r="C12" s="16" t="s">
        <v>56</v>
      </c>
      <c r="D12" s="16" t="s">
        <v>57</v>
      </c>
      <c r="E12" s="16" t="s">
        <v>74</v>
      </c>
      <c r="F12" s="16" t="s">
        <v>63</v>
      </c>
      <c r="G12" s="16" t="s">
        <v>39</v>
      </c>
      <c r="H12" s="16" t="s">
        <v>7</v>
      </c>
      <c r="I12" s="16"/>
      <c r="J12" s="16" t="s">
        <v>41</v>
      </c>
      <c r="K12" s="16"/>
      <c r="L12" s="16"/>
    </row>
    <row r="13" spans="1:12" x14ac:dyDescent="0.4">
      <c r="A13" s="16">
        <v>12</v>
      </c>
      <c r="B13" s="16" t="s">
        <v>75</v>
      </c>
      <c r="C13" s="16" t="s">
        <v>56</v>
      </c>
      <c r="D13" s="16" t="s">
        <v>76</v>
      </c>
      <c r="E13" s="16" t="s">
        <v>77</v>
      </c>
      <c r="F13" s="16" t="s">
        <v>78</v>
      </c>
      <c r="G13" s="16" t="s">
        <v>39</v>
      </c>
      <c r="H13" s="16" t="s">
        <v>4</v>
      </c>
      <c r="I13" s="16" t="s">
        <v>79</v>
      </c>
      <c r="J13" s="16" t="s">
        <v>41</v>
      </c>
      <c r="K13" s="16"/>
      <c r="L13" s="16"/>
    </row>
    <row r="14" spans="1:12" ht="29.15" x14ac:dyDescent="0.4">
      <c r="A14" s="16">
        <v>13</v>
      </c>
      <c r="B14" s="16" t="s">
        <v>80</v>
      </c>
      <c r="C14" s="16" t="s">
        <v>56</v>
      </c>
      <c r="D14" s="16" t="s">
        <v>76</v>
      </c>
      <c r="E14" s="16" t="s">
        <v>81</v>
      </c>
      <c r="F14" s="16" t="s">
        <v>78</v>
      </c>
      <c r="G14" s="16" t="s">
        <v>39</v>
      </c>
      <c r="H14" s="16" t="s">
        <v>6</v>
      </c>
      <c r="I14" s="16" t="s">
        <v>82</v>
      </c>
      <c r="J14" s="16" t="s">
        <v>41</v>
      </c>
      <c r="K14" s="16"/>
      <c r="L14" s="16"/>
    </row>
    <row r="15" spans="1:12" x14ac:dyDescent="0.4">
      <c r="A15" s="16">
        <v>14</v>
      </c>
      <c r="B15" s="16" t="s">
        <v>83</v>
      </c>
      <c r="C15" s="16" t="s">
        <v>56</v>
      </c>
      <c r="D15" s="16" t="s">
        <v>76</v>
      </c>
      <c r="E15" s="16" t="s">
        <v>84</v>
      </c>
      <c r="F15" s="16" t="s">
        <v>78</v>
      </c>
      <c r="G15" s="16" t="s">
        <v>39</v>
      </c>
      <c r="H15" s="16" t="s">
        <v>4</v>
      </c>
      <c r="I15" s="16" t="s">
        <v>85</v>
      </c>
      <c r="J15" s="16" t="s">
        <v>41</v>
      </c>
      <c r="K15" s="16"/>
      <c r="L15" s="16"/>
    </row>
    <row r="16" spans="1:12" x14ac:dyDescent="0.4">
      <c r="A16" s="16">
        <v>15</v>
      </c>
      <c r="B16" s="16" t="s">
        <v>86</v>
      </c>
      <c r="C16" s="16" t="s">
        <v>56</v>
      </c>
      <c r="D16" s="16" t="s">
        <v>76</v>
      </c>
      <c r="E16" s="16" t="s">
        <v>87</v>
      </c>
      <c r="F16" s="16" t="s">
        <v>78</v>
      </c>
      <c r="G16" s="16" t="s">
        <v>39</v>
      </c>
      <c r="H16" s="16" t="s">
        <v>4</v>
      </c>
      <c r="I16" s="16"/>
      <c r="J16" s="16" t="s">
        <v>41</v>
      </c>
      <c r="K16" s="16"/>
      <c r="L16" s="16"/>
    </row>
    <row r="17" spans="1:12" x14ac:dyDescent="0.4">
      <c r="A17" s="16">
        <v>16</v>
      </c>
      <c r="B17" s="16" t="s">
        <v>88</v>
      </c>
      <c r="C17" s="16" t="s">
        <v>56</v>
      </c>
      <c r="D17" s="16" t="s">
        <v>89</v>
      </c>
      <c r="E17" s="16" t="s">
        <v>90</v>
      </c>
      <c r="F17" s="16" t="s">
        <v>78</v>
      </c>
      <c r="G17" s="16" t="s">
        <v>39</v>
      </c>
      <c r="H17" s="16" t="s">
        <v>4</v>
      </c>
      <c r="I17" s="16" t="s">
        <v>91</v>
      </c>
      <c r="J17" s="16" t="s">
        <v>41</v>
      </c>
      <c r="K17" s="16"/>
      <c r="L17" s="16"/>
    </row>
    <row r="18" spans="1:12" x14ac:dyDescent="0.4">
      <c r="A18" s="16">
        <v>17</v>
      </c>
      <c r="B18" s="16" t="s">
        <v>92</v>
      </c>
      <c r="C18" s="16" t="s">
        <v>56</v>
      </c>
      <c r="D18" s="16" t="s">
        <v>89</v>
      </c>
      <c r="E18" s="16" t="s">
        <v>93</v>
      </c>
      <c r="F18" s="16" t="s">
        <v>78</v>
      </c>
      <c r="G18" s="16" t="s">
        <v>39</v>
      </c>
      <c r="H18" s="16" t="s">
        <v>4</v>
      </c>
      <c r="I18" s="16"/>
      <c r="J18" s="16" t="s">
        <v>41</v>
      </c>
      <c r="K18" s="16"/>
      <c r="L18" s="16"/>
    </row>
    <row r="19" spans="1:12" x14ac:dyDescent="0.4">
      <c r="A19" s="16">
        <v>18</v>
      </c>
      <c r="B19" s="16" t="s">
        <v>94</v>
      </c>
      <c r="C19" s="16" t="s">
        <v>56</v>
      </c>
      <c r="D19" s="16" t="s">
        <v>89</v>
      </c>
      <c r="E19" s="16" t="s">
        <v>95</v>
      </c>
      <c r="F19" s="16" t="s">
        <v>78</v>
      </c>
      <c r="G19" s="16" t="s">
        <v>39</v>
      </c>
      <c r="H19" s="16" t="s">
        <v>4</v>
      </c>
      <c r="I19" s="16"/>
      <c r="J19" s="16" t="s">
        <v>41</v>
      </c>
      <c r="K19" s="16"/>
      <c r="L19" s="16"/>
    </row>
    <row r="20" spans="1:12" x14ac:dyDescent="0.4">
      <c r="A20" s="16">
        <v>19</v>
      </c>
      <c r="B20" s="16" t="s">
        <v>96</v>
      </c>
      <c r="C20" s="16" t="s">
        <v>56</v>
      </c>
      <c r="D20" s="16" t="s">
        <v>89</v>
      </c>
      <c r="E20" s="16" t="s">
        <v>97</v>
      </c>
      <c r="F20" s="16" t="s">
        <v>78</v>
      </c>
      <c r="G20" s="16" t="s">
        <v>39</v>
      </c>
      <c r="H20" s="16" t="s">
        <v>4</v>
      </c>
      <c r="I20" s="16"/>
      <c r="J20" s="16" t="s">
        <v>41</v>
      </c>
      <c r="K20" s="16"/>
      <c r="L20" s="16"/>
    </row>
    <row r="21" spans="1:12" x14ac:dyDescent="0.4">
      <c r="A21" s="16">
        <v>20</v>
      </c>
      <c r="B21" s="16" t="s">
        <v>98</v>
      </c>
      <c r="C21" s="16" t="s">
        <v>56</v>
      </c>
      <c r="D21" s="16" t="s">
        <v>99</v>
      </c>
      <c r="E21" s="16" t="s">
        <v>100</v>
      </c>
      <c r="F21" s="16" t="s">
        <v>78</v>
      </c>
      <c r="G21" s="16" t="s">
        <v>39</v>
      </c>
      <c r="H21" s="16" t="s">
        <v>4</v>
      </c>
      <c r="I21" s="16" t="s">
        <v>101</v>
      </c>
      <c r="J21" s="16" t="s">
        <v>41</v>
      </c>
      <c r="K21" s="16"/>
      <c r="L21" s="16"/>
    </row>
    <row r="22" spans="1:12" x14ac:dyDescent="0.4">
      <c r="A22" s="16">
        <v>21</v>
      </c>
      <c r="B22" s="16" t="s">
        <v>102</v>
      </c>
      <c r="C22" s="16" t="s">
        <v>56</v>
      </c>
      <c r="D22" s="16" t="s">
        <v>99</v>
      </c>
      <c r="E22" s="16" t="s">
        <v>103</v>
      </c>
      <c r="F22" s="16" t="s">
        <v>78</v>
      </c>
      <c r="G22" s="16" t="s">
        <v>39</v>
      </c>
      <c r="H22" s="16" t="s">
        <v>4</v>
      </c>
      <c r="I22" s="16" t="s">
        <v>104</v>
      </c>
      <c r="J22" s="16" t="s">
        <v>41</v>
      </c>
      <c r="K22" s="16"/>
      <c r="L22" s="16"/>
    </row>
    <row r="23" spans="1:12" x14ac:dyDescent="0.4">
      <c r="A23" s="16">
        <v>22</v>
      </c>
      <c r="B23" s="16" t="s">
        <v>105</v>
      </c>
      <c r="C23" s="16" t="s">
        <v>56</v>
      </c>
      <c r="D23" s="16" t="s">
        <v>99</v>
      </c>
      <c r="E23" s="16" t="s">
        <v>106</v>
      </c>
      <c r="F23" s="16" t="s">
        <v>78</v>
      </c>
      <c r="G23" s="16" t="s">
        <v>39</v>
      </c>
      <c r="H23" s="16" t="s">
        <v>4</v>
      </c>
      <c r="I23" s="16"/>
      <c r="J23" s="16" t="s">
        <v>41</v>
      </c>
      <c r="K23" s="16"/>
      <c r="L23" s="16"/>
    </row>
    <row r="24" spans="1:12" x14ac:dyDescent="0.4">
      <c r="A24" s="16">
        <v>23</v>
      </c>
      <c r="B24" s="16" t="s">
        <v>107</v>
      </c>
      <c r="C24" s="16" t="s">
        <v>56</v>
      </c>
      <c r="D24" s="16" t="s">
        <v>99</v>
      </c>
      <c r="E24" s="16" t="s">
        <v>108</v>
      </c>
      <c r="F24" s="16" t="s">
        <v>78</v>
      </c>
      <c r="G24" s="16" t="s">
        <v>39</v>
      </c>
      <c r="H24" s="16" t="s">
        <v>4</v>
      </c>
      <c r="I24" s="16"/>
      <c r="J24" s="16" t="s">
        <v>41</v>
      </c>
      <c r="K24" s="16"/>
      <c r="L24" s="16"/>
    </row>
    <row r="25" spans="1:12" x14ac:dyDescent="0.4">
      <c r="A25" s="16">
        <v>24</v>
      </c>
      <c r="B25" s="16" t="s">
        <v>109</v>
      </c>
      <c r="C25" s="16" t="s">
        <v>56</v>
      </c>
      <c r="D25" s="16" t="s">
        <v>99</v>
      </c>
      <c r="E25" s="16" t="s">
        <v>110</v>
      </c>
      <c r="F25" s="16" t="s">
        <v>78</v>
      </c>
      <c r="G25" s="16" t="s">
        <v>39</v>
      </c>
      <c r="H25" s="16" t="s">
        <v>5</v>
      </c>
      <c r="I25" s="16" t="s">
        <v>111</v>
      </c>
      <c r="J25" s="16" t="s">
        <v>41</v>
      </c>
      <c r="K25" s="16"/>
      <c r="L25" s="16"/>
    </row>
    <row r="26" spans="1:12" x14ac:dyDescent="0.4">
      <c r="A26" s="16">
        <v>25</v>
      </c>
      <c r="B26" s="16" t="s">
        <v>112</v>
      </c>
      <c r="C26" s="16" t="s">
        <v>56</v>
      </c>
      <c r="D26" s="16" t="s">
        <v>99</v>
      </c>
      <c r="E26" s="16" t="s">
        <v>113</v>
      </c>
      <c r="F26" s="16" t="s">
        <v>78</v>
      </c>
      <c r="G26" s="16" t="s">
        <v>39</v>
      </c>
      <c r="H26" s="16" t="s">
        <v>4</v>
      </c>
      <c r="I26" s="16" t="s">
        <v>114</v>
      </c>
      <c r="J26" s="16" t="s">
        <v>41</v>
      </c>
      <c r="K26" s="16"/>
      <c r="L26" s="16"/>
    </row>
    <row r="27" spans="1:12" x14ac:dyDescent="0.4">
      <c r="A27" s="16">
        <v>26</v>
      </c>
      <c r="B27" s="16" t="s">
        <v>115</v>
      </c>
      <c r="C27" s="16" t="s">
        <v>56</v>
      </c>
      <c r="D27" s="16" t="s">
        <v>99</v>
      </c>
      <c r="E27" s="16" t="s">
        <v>116</v>
      </c>
      <c r="F27" s="16" t="s">
        <v>78</v>
      </c>
      <c r="G27" s="16" t="s">
        <v>39</v>
      </c>
      <c r="H27" s="16" t="s">
        <v>4</v>
      </c>
      <c r="I27" s="16" t="s">
        <v>117</v>
      </c>
      <c r="J27" s="16" t="s">
        <v>41</v>
      </c>
      <c r="K27" s="16"/>
      <c r="L27" s="16"/>
    </row>
    <row r="28" spans="1:12" x14ac:dyDescent="0.4">
      <c r="A28" s="16">
        <v>27</v>
      </c>
      <c r="B28" s="16" t="s">
        <v>118</v>
      </c>
      <c r="C28" s="16" t="s">
        <v>56</v>
      </c>
      <c r="D28" s="16" t="s">
        <v>99</v>
      </c>
      <c r="E28" s="16" t="s">
        <v>119</v>
      </c>
      <c r="F28" s="16" t="s">
        <v>78</v>
      </c>
      <c r="G28" s="16" t="s">
        <v>39</v>
      </c>
      <c r="H28" s="16" t="s">
        <v>4</v>
      </c>
      <c r="I28" s="16"/>
      <c r="J28" s="16" t="s">
        <v>41</v>
      </c>
      <c r="K28" s="16"/>
      <c r="L28" s="16"/>
    </row>
    <row r="29" spans="1:12" ht="29.15" x14ac:dyDescent="0.4">
      <c r="A29" s="16">
        <v>28</v>
      </c>
      <c r="B29" s="16" t="s">
        <v>120</v>
      </c>
      <c r="C29" s="16" t="s">
        <v>56</v>
      </c>
      <c r="D29" s="16" t="s">
        <v>121</v>
      </c>
      <c r="E29" s="16" t="s">
        <v>122</v>
      </c>
      <c r="F29" s="16" t="s">
        <v>78</v>
      </c>
      <c r="G29" s="16" t="s">
        <v>123</v>
      </c>
      <c r="H29" s="16" t="s">
        <v>4</v>
      </c>
      <c r="I29" s="16" t="s">
        <v>124</v>
      </c>
      <c r="J29" s="16" t="s">
        <v>41</v>
      </c>
      <c r="K29" s="16"/>
      <c r="L29" s="16"/>
    </row>
    <row r="30" spans="1:12" ht="29.15" x14ac:dyDescent="0.4">
      <c r="A30" s="16">
        <v>29</v>
      </c>
      <c r="B30" s="16" t="s">
        <v>125</v>
      </c>
      <c r="C30" s="16" t="s">
        <v>56</v>
      </c>
      <c r="D30" s="16" t="s">
        <v>121</v>
      </c>
      <c r="E30" s="16" t="s">
        <v>126</v>
      </c>
      <c r="F30" s="16" t="s">
        <v>127</v>
      </c>
      <c r="G30" s="16" t="s">
        <v>123</v>
      </c>
      <c r="H30" s="16" t="s">
        <v>4</v>
      </c>
      <c r="I30" s="16"/>
      <c r="J30" s="16" t="s">
        <v>41</v>
      </c>
      <c r="K30" s="16"/>
      <c r="L30" s="16"/>
    </row>
    <row r="31" spans="1:12" ht="29.15" x14ac:dyDescent="0.4">
      <c r="A31" s="16">
        <v>30</v>
      </c>
      <c r="B31" s="16" t="s">
        <v>128</v>
      </c>
      <c r="C31" s="16" t="s">
        <v>56</v>
      </c>
      <c r="D31" s="16" t="s">
        <v>121</v>
      </c>
      <c r="E31" s="16" t="s">
        <v>129</v>
      </c>
      <c r="F31" s="16" t="s">
        <v>78</v>
      </c>
      <c r="G31" s="16" t="s">
        <v>123</v>
      </c>
      <c r="H31" s="16" t="s">
        <v>7</v>
      </c>
      <c r="I31" s="16"/>
      <c r="J31" s="16" t="s">
        <v>41</v>
      </c>
      <c r="K31" s="16"/>
      <c r="L31" s="16"/>
    </row>
    <row r="32" spans="1:12" ht="29.15" x14ac:dyDescent="0.4">
      <c r="A32" s="16">
        <v>31</v>
      </c>
      <c r="B32" s="16" t="s">
        <v>130</v>
      </c>
      <c r="C32" s="16" t="s">
        <v>56</v>
      </c>
      <c r="D32" s="16" t="s">
        <v>131</v>
      </c>
      <c r="E32" s="16" t="s">
        <v>132</v>
      </c>
      <c r="F32" s="16" t="s">
        <v>133</v>
      </c>
      <c r="G32" s="16" t="s">
        <v>123</v>
      </c>
      <c r="H32" s="16" t="s">
        <v>7</v>
      </c>
      <c r="I32" s="16"/>
      <c r="J32" s="16" t="s">
        <v>41</v>
      </c>
      <c r="K32" s="16"/>
      <c r="L32" s="16"/>
    </row>
    <row r="33" spans="1:12" ht="29.15" x14ac:dyDescent="0.4">
      <c r="A33" s="16">
        <v>32</v>
      </c>
      <c r="B33" s="16" t="s">
        <v>134</v>
      </c>
      <c r="C33" s="16" t="s">
        <v>56</v>
      </c>
      <c r="D33" s="16" t="s">
        <v>131</v>
      </c>
      <c r="E33" s="16" t="s">
        <v>135</v>
      </c>
      <c r="F33" s="16" t="s">
        <v>133</v>
      </c>
      <c r="G33" s="16" t="s">
        <v>123</v>
      </c>
      <c r="H33" s="16" t="s">
        <v>7</v>
      </c>
      <c r="I33" s="16"/>
      <c r="J33" s="16" t="s">
        <v>41</v>
      </c>
      <c r="K33" s="16"/>
      <c r="L33" s="16"/>
    </row>
    <row r="34" spans="1:12" x14ac:dyDescent="0.4">
      <c r="A34" s="16">
        <v>33</v>
      </c>
      <c r="B34" s="16" t="s">
        <v>136</v>
      </c>
      <c r="C34" s="16" t="s">
        <v>56</v>
      </c>
      <c r="D34" s="16" t="s">
        <v>137</v>
      </c>
      <c r="E34" s="16" t="s">
        <v>138</v>
      </c>
      <c r="F34" s="16" t="s">
        <v>139</v>
      </c>
      <c r="G34" s="16" t="s">
        <v>123</v>
      </c>
      <c r="H34" s="16" t="s">
        <v>6</v>
      </c>
      <c r="I34" s="16" t="s">
        <v>140</v>
      </c>
      <c r="J34" s="16" t="s">
        <v>41</v>
      </c>
      <c r="K34" s="16"/>
      <c r="L34" s="16"/>
    </row>
    <row r="35" spans="1:12" ht="29.15" x14ac:dyDescent="0.4">
      <c r="A35" s="16">
        <v>34</v>
      </c>
      <c r="B35" s="16" t="s">
        <v>141</v>
      </c>
      <c r="C35" s="16" t="s">
        <v>56</v>
      </c>
      <c r="D35" s="16" t="s">
        <v>137</v>
      </c>
      <c r="E35" s="16" t="s">
        <v>142</v>
      </c>
      <c r="F35" s="16" t="s">
        <v>139</v>
      </c>
      <c r="G35" s="16" t="s">
        <v>123</v>
      </c>
      <c r="H35" s="16" t="s">
        <v>6</v>
      </c>
      <c r="I35" s="16" t="s">
        <v>143</v>
      </c>
      <c r="J35" s="16" t="s">
        <v>41</v>
      </c>
      <c r="K35" s="16"/>
      <c r="L35" s="16"/>
    </row>
    <row r="36" spans="1:12" ht="29.15" x14ac:dyDescent="0.4">
      <c r="A36" s="16">
        <v>35</v>
      </c>
      <c r="B36" s="16" t="s">
        <v>144</v>
      </c>
      <c r="C36" s="16" t="s">
        <v>56</v>
      </c>
      <c r="D36" s="16" t="s">
        <v>137</v>
      </c>
      <c r="E36" s="16" t="s">
        <v>145</v>
      </c>
      <c r="F36" s="16" t="s">
        <v>139</v>
      </c>
      <c r="G36" s="16" t="s">
        <v>123</v>
      </c>
      <c r="H36" s="16" t="s">
        <v>6</v>
      </c>
      <c r="I36" s="16"/>
      <c r="J36" s="16" t="s">
        <v>41</v>
      </c>
      <c r="K36" s="16"/>
      <c r="L36" s="16"/>
    </row>
    <row r="37" spans="1:12" x14ac:dyDescent="0.4">
      <c r="A37" s="16">
        <v>36</v>
      </c>
      <c r="B37" s="16" t="s">
        <v>146</v>
      </c>
      <c r="C37" s="16" t="s">
        <v>56</v>
      </c>
      <c r="D37" s="16" t="s">
        <v>137</v>
      </c>
      <c r="E37" s="16" t="s">
        <v>147</v>
      </c>
      <c r="F37" s="16" t="s">
        <v>139</v>
      </c>
      <c r="G37" s="16" t="s">
        <v>123</v>
      </c>
      <c r="H37" s="16" t="s">
        <v>6</v>
      </c>
      <c r="I37" s="16" t="s">
        <v>148</v>
      </c>
      <c r="J37" s="16" t="s">
        <v>41</v>
      </c>
      <c r="K37" s="16"/>
      <c r="L37" s="16"/>
    </row>
    <row r="38" spans="1:12" ht="29.15" x14ac:dyDescent="0.4">
      <c r="A38" s="16">
        <v>37</v>
      </c>
      <c r="B38" s="16" t="s">
        <v>149</v>
      </c>
      <c r="C38" s="16" t="s">
        <v>56</v>
      </c>
      <c r="D38" s="16" t="s">
        <v>150</v>
      </c>
      <c r="E38" s="16" t="s">
        <v>151</v>
      </c>
      <c r="F38" s="16" t="s">
        <v>152</v>
      </c>
      <c r="G38" s="16" t="s">
        <v>153</v>
      </c>
      <c r="H38" s="16" t="s">
        <v>5</v>
      </c>
      <c r="I38" s="16" t="s">
        <v>154</v>
      </c>
      <c r="J38" s="16" t="s">
        <v>41</v>
      </c>
      <c r="K38" s="16"/>
      <c r="L38" s="16"/>
    </row>
    <row r="39" spans="1:12" x14ac:dyDescent="0.4">
      <c r="A39" s="16">
        <v>38</v>
      </c>
      <c r="B39" s="16" t="s">
        <v>155</v>
      </c>
      <c r="C39" s="16" t="s">
        <v>56</v>
      </c>
      <c r="D39" s="16" t="s">
        <v>150</v>
      </c>
      <c r="E39" s="16" t="s">
        <v>156</v>
      </c>
      <c r="F39" s="16" t="s">
        <v>152</v>
      </c>
      <c r="G39" s="16" t="s">
        <v>153</v>
      </c>
      <c r="H39" s="16" t="s">
        <v>5</v>
      </c>
      <c r="I39" s="16"/>
      <c r="J39" s="16" t="s">
        <v>41</v>
      </c>
      <c r="K39" s="16"/>
      <c r="L39" s="16"/>
    </row>
    <row r="40" spans="1:12" x14ac:dyDescent="0.4">
      <c r="A40" s="16">
        <v>39</v>
      </c>
      <c r="B40" s="16" t="s">
        <v>157</v>
      </c>
      <c r="C40" s="16" t="s">
        <v>158</v>
      </c>
      <c r="D40" s="16" t="s">
        <v>159</v>
      </c>
      <c r="E40" s="16" t="s">
        <v>160</v>
      </c>
      <c r="F40" s="16" t="s">
        <v>161</v>
      </c>
      <c r="G40" s="16" t="s">
        <v>39</v>
      </c>
      <c r="H40" s="16" t="s">
        <v>6</v>
      </c>
      <c r="I40" s="16" t="s">
        <v>162</v>
      </c>
      <c r="J40" s="16" t="s">
        <v>41</v>
      </c>
      <c r="K40" s="16"/>
      <c r="L40" s="16"/>
    </row>
    <row r="41" spans="1:12" x14ac:dyDescent="0.4">
      <c r="A41" s="16">
        <v>40</v>
      </c>
      <c r="B41" s="16" t="s">
        <v>163</v>
      </c>
      <c r="C41" s="16" t="s">
        <v>158</v>
      </c>
      <c r="D41" s="16" t="s">
        <v>159</v>
      </c>
      <c r="E41" s="16" t="s">
        <v>164</v>
      </c>
      <c r="F41" s="16" t="s">
        <v>165</v>
      </c>
      <c r="G41" s="16" t="s">
        <v>39</v>
      </c>
      <c r="H41" s="16" t="s">
        <v>4</v>
      </c>
      <c r="I41" s="16" t="s">
        <v>166</v>
      </c>
      <c r="J41" s="16" t="s">
        <v>41</v>
      </c>
      <c r="K41" s="16"/>
      <c r="L41" s="16"/>
    </row>
    <row r="42" spans="1:12" x14ac:dyDescent="0.4">
      <c r="A42" s="16">
        <v>41</v>
      </c>
      <c r="B42" s="16" t="s">
        <v>167</v>
      </c>
      <c r="C42" s="16" t="s">
        <v>158</v>
      </c>
      <c r="D42" s="16" t="s">
        <v>159</v>
      </c>
      <c r="E42" s="16" t="s">
        <v>168</v>
      </c>
      <c r="F42" s="16" t="s">
        <v>165</v>
      </c>
      <c r="G42" s="16" t="s">
        <v>39</v>
      </c>
      <c r="H42" s="16" t="s">
        <v>4</v>
      </c>
      <c r="I42" s="16" t="s">
        <v>169</v>
      </c>
      <c r="J42" s="16" t="s">
        <v>41</v>
      </c>
      <c r="K42" s="16"/>
      <c r="L42" s="16"/>
    </row>
    <row r="43" spans="1:12" x14ac:dyDescent="0.4">
      <c r="A43" s="16">
        <v>42</v>
      </c>
      <c r="B43" s="16" t="s">
        <v>170</v>
      </c>
      <c r="C43" s="16" t="s">
        <v>158</v>
      </c>
      <c r="D43" s="16" t="s">
        <v>159</v>
      </c>
      <c r="E43" s="16" t="s">
        <v>171</v>
      </c>
      <c r="F43" s="16" t="s">
        <v>161</v>
      </c>
      <c r="G43" s="16" t="s">
        <v>39</v>
      </c>
      <c r="H43" s="16" t="s">
        <v>6</v>
      </c>
      <c r="I43" s="16" t="s">
        <v>172</v>
      </c>
      <c r="J43" s="16" t="s">
        <v>41</v>
      </c>
      <c r="K43" s="16"/>
      <c r="L43" s="16"/>
    </row>
    <row r="44" spans="1:12" x14ac:dyDescent="0.4">
      <c r="A44" s="16">
        <v>43</v>
      </c>
      <c r="B44" s="16" t="s">
        <v>173</v>
      </c>
      <c r="C44" s="16" t="s">
        <v>158</v>
      </c>
      <c r="D44" s="16" t="s">
        <v>159</v>
      </c>
      <c r="E44" s="16" t="s">
        <v>174</v>
      </c>
      <c r="F44" s="16" t="s">
        <v>165</v>
      </c>
      <c r="G44" s="16" t="s">
        <v>39</v>
      </c>
      <c r="H44" s="16" t="s">
        <v>4</v>
      </c>
      <c r="I44" s="16"/>
      <c r="J44" s="16" t="s">
        <v>41</v>
      </c>
      <c r="K44" s="16"/>
      <c r="L44" s="16"/>
    </row>
    <row r="45" spans="1:12" x14ac:dyDescent="0.4">
      <c r="A45" s="16">
        <v>44</v>
      </c>
      <c r="B45" s="16" t="s">
        <v>175</v>
      </c>
      <c r="C45" s="16" t="s">
        <v>158</v>
      </c>
      <c r="D45" s="16" t="s">
        <v>159</v>
      </c>
      <c r="E45" s="16" t="s">
        <v>176</v>
      </c>
      <c r="F45" s="16" t="s">
        <v>165</v>
      </c>
      <c r="G45" s="16" t="s">
        <v>39</v>
      </c>
      <c r="H45" s="16" t="s">
        <v>5</v>
      </c>
      <c r="I45" s="16" t="s">
        <v>177</v>
      </c>
      <c r="J45" s="16" t="s">
        <v>41</v>
      </c>
      <c r="K45" s="16"/>
      <c r="L45" s="16"/>
    </row>
    <row r="46" spans="1:12" x14ac:dyDescent="0.4">
      <c r="A46" s="16">
        <v>45</v>
      </c>
      <c r="B46" s="16" t="s">
        <v>178</v>
      </c>
      <c r="C46" s="16" t="s">
        <v>158</v>
      </c>
      <c r="D46" s="16" t="s">
        <v>159</v>
      </c>
      <c r="E46" s="16" t="s">
        <v>179</v>
      </c>
      <c r="F46" s="16" t="s">
        <v>165</v>
      </c>
      <c r="G46" s="16" t="s">
        <v>39</v>
      </c>
      <c r="H46" s="16" t="s">
        <v>4</v>
      </c>
      <c r="I46" s="16" t="s">
        <v>180</v>
      </c>
      <c r="J46" s="16" t="s">
        <v>41</v>
      </c>
      <c r="K46" s="16"/>
      <c r="L46" s="16"/>
    </row>
    <row r="47" spans="1:12" x14ac:dyDescent="0.4">
      <c r="A47" s="16">
        <v>46</v>
      </c>
      <c r="B47" s="16" t="s">
        <v>181</v>
      </c>
      <c r="C47" s="16" t="s">
        <v>158</v>
      </c>
      <c r="D47" s="16" t="s">
        <v>159</v>
      </c>
      <c r="E47" s="16" t="s">
        <v>182</v>
      </c>
      <c r="F47" s="16" t="s">
        <v>165</v>
      </c>
      <c r="G47" s="16" t="s">
        <v>39</v>
      </c>
      <c r="H47" s="16" t="s">
        <v>5</v>
      </c>
      <c r="I47" s="16" t="s">
        <v>183</v>
      </c>
      <c r="J47" s="16" t="s">
        <v>41</v>
      </c>
      <c r="K47" s="16"/>
      <c r="L47" s="16"/>
    </row>
    <row r="48" spans="1:12" x14ac:dyDescent="0.4">
      <c r="A48" s="16">
        <v>47</v>
      </c>
      <c r="B48" s="16" t="s">
        <v>184</v>
      </c>
      <c r="C48" s="16" t="s">
        <v>185</v>
      </c>
      <c r="D48" s="16" t="s">
        <v>186</v>
      </c>
      <c r="E48" s="16" t="s">
        <v>187</v>
      </c>
      <c r="F48" s="16" t="s">
        <v>188</v>
      </c>
      <c r="G48" s="16" t="s">
        <v>39</v>
      </c>
      <c r="H48" s="16" t="s">
        <v>5</v>
      </c>
      <c r="I48" s="16" t="s">
        <v>189</v>
      </c>
      <c r="J48" s="16" t="s">
        <v>41</v>
      </c>
      <c r="K48" s="16"/>
      <c r="L48" s="16"/>
    </row>
    <row r="49" spans="1:12" x14ac:dyDescent="0.4">
      <c r="A49" s="16">
        <v>48</v>
      </c>
      <c r="B49" s="16" t="s">
        <v>190</v>
      </c>
      <c r="C49" s="16" t="s">
        <v>185</v>
      </c>
      <c r="D49" s="16" t="s">
        <v>186</v>
      </c>
      <c r="E49" s="16" t="s">
        <v>191</v>
      </c>
      <c r="F49" s="16" t="s">
        <v>192</v>
      </c>
      <c r="G49" s="16" t="s">
        <v>39</v>
      </c>
      <c r="H49" s="16" t="s">
        <v>4</v>
      </c>
      <c r="I49" s="16"/>
      <c r="J49" s="16" t="s">
        <v>41</v>
      </c>
      <c r="K49" s="16"/>
      <c r="L49" s="16"/>
    </row>
    <row r="50" spans="1:12" x14ac:dyDescent="0.4">
      <c r="A50" s="16">
        <v>49</v>
      </c>
      <c r="B50" s="16" t="s">
        <v>193</v>
      </c>
      <c r="C50" s="16" t="s">
        <v>185</v>
      </c>
      <c r="D50" s="16" t="s">
        <v>186</v>
      </c>
      <c r="E50" s="16" t="s">
        <v>194</v>
      </c>
      <c r="F50" s="16" t="s">
        <v>192</v>
      </c>
      <c r="G50" s="16" t="s">
        <v>39</v>
      </c>
      <c r="H50" s="16" t="s">
        <v>4</v>
      </c>
      <c r="I50" s="16"/>
      <c r="J50" s="16" t="s">
        <v>41</v>
      </c>
      <c r="K50" s="16"/>
      <c r="L50" s="16"/>
    </row>
    <row r="51" spans="1:12" x14ac:dyDescent="0.4">
      <c r="A51" s="16">
        <v>50</v>
      </c>
      <c r="B51" s="16" t="s">
        <v>195</v>
      </c>
      <c r="C51" s="16" t="s">
        <v>185</v>
      </c>
      <c r="D51" s="16" t="s">
        <v>186</v>
      </c>
      <c r="E51" s="16" t="s">
        <v>196</v>
      </c>
      <c r="F51" s="16" t="s">
        <v>192</v>
      </c>
      <c r="G51" s="16" t="s">
        <v>39</v>
      </c>
      <c r="H51" s="16" t="s">
        <v>4</v>
      </c>
      <c r="I51" s="16" t="s">
        <v>197</v>
      </c>
      <c r="J51" s="16" t="s">
        <v>41</v>
      </c>
      <c r="K51" s="16"/>
      <c r="L51" s="16"/>
    </row>
    <row r="52" spans="1:12" x14ac:dyDescent="0.4">
      <c r="A52" s="16">
        <v>51</v>
      </c>
      <c r="B52" s="16" t="s">
        <v>198</v>
      </c>
      <c r="C52" s="16" t="s">
        <v>185</v>
      </c>
      <c r="D52" s="16" t="s">
        <v>186</v>
      </c>
      <c r="E52" s="16" t="s">
        <v>199</v>
      </c>
      <c r="F52" s="16" t="s">
        <v>192</v>
      </c>
      <c r="G52" s="16" t="s">
        <v>39</v>
      </c>
      <c r="H52" s="16" t="s">
        <v>4</v>
      </c>
      <c r="I52" s="16"/>
      <c r="J52" s="16" t="s">
        <v>41</v>
      </c>
      <c r="K52" s="16"/>
      <c r="L52" s="16"/>
    </row>
    <row r="53" spans="1:12" ht="29.15" x14ac:dyDescent="0.4">
      <c r="A53" s="16">
        <v>52</v>
      </c>
      <c r="B53" s="16" t="s">
        <v>200</v>
      </c>
      <c r="C53" s="16" t="s">
        <v>185</v>
      </c>
      <c r="D53" s="16" t="s">
        <v>186</v>
      </c>
      <c r="E53" s="16" t="s">
        <v>201</v>
      </c>
      <c r="F53" s="16" t="s">
        <v>192</v>
      </c>
      <c r="G53" s="16" t="s">
        <v>39</v>
      </c>
      <c r="H53" s="16" t="s">
        <v>5</v>
      </c>
      <c r="I53" s="16" t="s">
        <v>202</v>
      </c>
      <c r="J53" s="16" t="s">
        <v>41</v>
      </c>
      <c r="K53" s="16"/>
      <c r="L53" s="16"/>
    </row>
    <row r="54" spans="1:12" x14ac:dyDescent="0.4">
      <c r="A54" s="16">
        <v>53</v>
      </c>
      <c r="B54" s="16" t="s">
        <v>203</v>
      </c>
      <c r="C54" s="16" t="s">
        <v>185</v>
      </c>
      <c r="D54" s="16" t="s">
        <v>186</v>
      </c>
      <c r="E54" s="16" t="s">
        <v>204</v>
      </c>
      <c r="F54" s="16" t="s">
        <v>192</v>
      </c>
      <c r="G54" s="16" t="s">
        <v>39</v>
      </c>
      <c r="H54" s="16" t="s">
        <v>4</v>
      </c>
      <c r="I54" s="16"/>
      <c r="J54" s="16" t="s">
        <v>41</v>
      </c>
      <c r="K54" s="16"/>
      <c r="L54" s="16"/>
    </row>
    <row r="55" spans="1:12" x14ac:dyDescent="0.4">
      <c r="A55" s="16">
        <v>54</v>
      </c>
      <c r="B55" s="16" t="s">
        <v>205</v>
      </c>
      <c r="C55" s="16" t="s">
        <v>185</v>
      </c>
      <c r="D55" s="16" t="s">
        <v>206</v>
      </c>
      <c r="E55" s="16" t="s">
        <v>207</v>
      </c>
      <c r="F55" s="16" t="s">
        <v>208</v>
      </c>
      <c r="G55" s="16" t="s">
        <v>39</v>
      </c>
      <c r="H55" s="16" t="s">
        <v>5</v>
      </c>
      <c r="I55" s="16" t="s">
        <v>209</v>
      </c>
      <c r="J55" s="16" t="s">
        <v>41</v>
      </c>
      <c r="K55" s="16"/>
      <c r="L55" s="16"/>
    </row>
    <row r="56" spans="1:12" ht="29.15" x14ac:dyDescent="0.4">
      <c r="A56" s="16">
        <v>55</v>
      </c>
      <c r="B56" s="16" t="s">
        <v>210</v>
      </c>
      <c r="C56" s="16" t="s">
        <v>185</v>
      </c>
      <c r="D56" s="16" t="s">
        <v>206</v>
      </c>
      <c r="E56" s="16" t="s">
        <v>211</v>
      </c>
      <c r="F56" s="16" t="s">
        <v>208</v>
      </c>
      <c r="G56" s="16" t="s">
        <v>39</v>
      </c>
      <c r="H56" s="16" t="s">
        <v>5</v>
      </c>
      <c r="I56" s="16" t="s">
        <v>212</v>
      </c>
      <c r="J56" s="16" t="s">
        <v>41</v>
      </c>
      <c r="K56" s="16"/>
      <c r="L56" s="16"/>
    </row>
    <row r="57" spans="1:12" x14ac:dyDescent="0.4">
      <c r="A57" s="16">
        <v>56</v>
      </c>
      <c r="B57" s="16" t="s">
        <v>213</v>
      </c>
      <c r="C57" s="16" t="s">
        <v>185</v>
      </c>
      <c r="D57" s="16" t="s">
        <v>206</v>
      </c>
      <c r="E57" s="16" t="s">
        <v>214</v>
      </c>
      <c r="F57" s="16" t="s">
        <v>208</v>
      </c>
      <c r="G57" s="16" t="s">
        <v>39</v>
      </c>
      <c r="H57" s="16" t="s">
        <v>6</v>
      </c>
      <c r="I57" s="16" t="s">
        <v>215</v>
      </c>
      <c r="J57" s="16" t="s">
        <v>41</v>
      </c>
      <c r="K57" s="16"/>
      <c r="L57" s="16"/>
    </row>
    <row r="58" spans="1:12" x14ac:dyDescent="0.4">
      <c r="A58" s="16">
        <v>57</v>
      </c>
      <c r="B58" s="16" t="s">
        <v>216</v>
      </c>
      <c r="C58" s="16" t="s">
        <v>185</v>
      </c>
      <c r="D58" s="16" t="s">
        <v>217</v>
      </c>
      <c r="E58" s="16" t="s">
        <v>218</v>
      </c>
      <c r="F58" s="16" t="s">
        <v>208</v>
      </c>
      <c r="G58" s="16" t="s">
        <v>123</v>
      </c>
      <c r="H58" s="16" t="s">
        <v>6</v>
      </c>
      <c r="I58" s="16"/>
      <c r="J58" s="16" t="s">
        <v>41</v>
      </c>
      <c r="K58" s="16"/>
      <c r="L58" s="16"/>
    </row>
    <row r="59" spans="1:12" x14ac:dyDescent="0.4">
      <c r="A59" s="16">
        <v>58</v>
      </c>
      <c r="B59" s="16" t="s">
        <v>219</v>
      </c>
      <c r="C59" s="16" t="s">
        <v>185</v>
      </c>
      <c r="D59" s="16" t="s">
        <v>217</v>
      </c>
      <c r="E59" s="16" t="s">
        <v>220</v>
      </c>
      <c r="F59" s="16" t="s">
        <v>127</v>
      </c>
      <c r="G59" s="16" t="s">
        <v>123</v>
      </c>
      <c r="H59" s="16" t="s">
        <v>6</v>
      </c>
      <c r="I59" s="16"/>
      <c r="J59" s="16" t="s">
        <v>41</v>
      </c>
      <c r="K59" s="16"/>
      <c r="L59" s="16"/>
    </row>
    <row r="60" spans="1:12" x14ac:dyDescent="0.4">
      <c r="A60" s="16">
        <v>59</v>
      </c>
      <c r="B60" s="16" t="s">
        <v>221</v>
      </c>
      <c r="C60" s="16" t="s">
        <v>185</v>
      </c>
      <c r="D60" s="16" t="s">
        <v>217</v>
      </c>
      <c r="E60" s="16" t="s">
        <v>222</v>
      </c>
      <c r="F60" s="16" t="s">
        <v>223</v>
      </c>
      <c r="G60" s="16" t="s">
        <v>123</v>
      </c>
      <c r="H60" s="16" t="s">
        <v>6</v>
      </c>
      <c r="I60" s="16"/>
      <c r="J60" s="16" t="s">
        <v>41</v>
      </c>
      <c r="K60" s="16"/>
      <c r="L60" s="16"/>
    </row>
    <row r="61" spans="1:12" x14ac:dyDescent="0.4">
      <c r="A61" s="16">
        <v>60</v>
      </c>
      <c r="B61" s="16" t="s">
        <v>224</v>
      </c>
      <c r="C61" s="16" t="s">
        <v>185</v>
      </c>
      <c r="D61" s="16" t="s">
        <v>225</v>
      </c>
      <c r="E61" s="16" t="s">
        <v>226</v>
      </c>
      <c r="F61" s="16" t="s">
        <v>227</v>
      </c>
      <c r="G61" s="16" t="s">
        <v>123</v>
      </c>
      <c r="H61" s="16" t="s">
        <v>6</v>
      </c>
      <c r="I61" s="16" t="s">
        <v>228</v>
      </c>
      <c r="J61" s="16" t="s">
        <v>41</v>
      </c>
      <c r="K61" s="16"/>
      <c r="L61" s="16"/>
    </row>
    <row r="62" spans="1:12" ht="29.15" x14ac:dyDescent="0.4">
      <c r="A62" s="16">
        <v>61</v>
      </c>
      <c r="B62" s="16" t="s">
        <v>229</v>
      </c>
      <c r="C62" s="16" t="s">
        <v>185</v>
      </c>
      <c r="D62" s="16" t="s">
        <v>225</v>
      </c>
      <c r="E62" s="16" t="s">
        <v>230</v>
      </c>
      <c r="F62" s="16" t="s">
        <v>227</v>
      </c>
      <c r="G62" s="16" t="s">
        <v>123</v>
      </c>
      <c r="H62" s="16" t="s">
        <v>5</v>
      </c>
      <c r="I62" s="16" t="s">
        <v>231</v>
      </c>
      <c r="J62" s="16" t="s">
        <v>41</v>
      </c>
      <c r="K62" s="16"/>
      <c r="L62" s="16"/>
    </row>
    <row r="63" spans="1:12" x14ac:dyDescent="0.4">
      <c r="A63" s="16">
        <v>62</v>
      </c>
      <c r="B63" s="16" t="s">
        <v>232</v>
      </c>
      <c r="C63" s="16" t="s">
        <v>185</v>
      </c>
      <c r="D63" s="16" t="s">
        <v>225</v>
      </c>
      <c r="E63" s="16" t="s">
        <v>233</v>
      </c>
      <c r="F63" s="16" t="s">
        <v>227</v>
      </c>
      <c r="G63" s="16" t="s">
        <v>123</v>
      </c>
      <c r="H63" s="16" t="s">
        <v>5</v>
      </c>
      <c r="I63" s="16"/>
      <c r="J63" s="16" t="s">
        <v>41</v>
      </c>
      <c r="K63" s="16"/>
      <c r="L63" s="16"/>
    </row>
    <row r="64" spans="1:12" ht="29.15" x14ac:dyDescent="0.4">
      <c r="A64" s="16">
        <v>63</v>
      </c>
      <c r="B64" s="16" t="s">
        <v>234</v>
      </c>
      <c r="C64" s="16" t="s">
        <v>235</v>
      </c>
      <c r="D64" s="16" t="s">
        <v>236</v>
      </c>
      <c r="E64" s="16" t="s">
        <v>237</v>
      </c>
      <c r="F64" s="16" t="s">
        <v>235</v>
      </c>
      <c r="G64" s="16" t="s">
        <v>123</v>
      </c>
      <c r="H64" s="16" t="s">
        <v>5</v>
      </c>
      <c r="I64" s="16" t="s">
        <v>238</v>
      </c>
      <c r="J64" s="16" t="s">
        <v>41</v>
      </c>
      <c r="K64" s="16"/>
      <c r="L64" s="16"/>
    </row>
    <row r="65" spans="1:12" x14ac:dyDescent="0.4">
      <c r="A65" s="16">
        <v>64</v>
      </c>
      <c r="B65" s="16" t="s">
        <v>239</v>
      </c>
      <c r="C65" s="16" t="s">
        <v>235</v>
      </c>
      <c r="D65" s="16" t="s">
        <v>236</v>
      </c>
      <c r="E65" s="16" t="s">
        <v>240</v>
      </c>
      <c r="F65" s="16" t="s">
        <v>235</v>
      </c>
      <c r="G65" s="16" t="s">
        <v>123</v>
      </c>
      <c r="H65" s="16" t="s">
        <v>6</v>
      </c>
      <c r="I65" s="16"/>
      <c r="J65" s="16" t="s">
        <v>41</v>
      </c>
      <c r="K65" s="16"/>
      <c r="L65" s="16"/>
    </row>
    <row r="66" spans="1:12" x14ac:dyDescent="0.4">
      <c r="A66" s="16">
        <v>65</v>
      </c>
      <c r="B66" s="16" t="s">
        <v>241</v>
      </c>
      <c r="C66" s="16" t="s">
        <v>235</v>
      </c>
      <c r="D66" s="16" t="s">
        <v>236</v>
      </c>
      <c r="E66" s="16" t="s">
        <v>242</v>
      </c>
      <c r="F66" s="16" t="s">
        <v>235</v>
      </c>
      <c r="G66" s="16" t="s">
        <v>123</v>
      </c>
      <c r="H66" s="16" t="s">
        <v>5</v>
      </c>
      <c r="I66" s="16" t="s">
        <v>243</v>
      </c>
      <c r="J66" s="16" t="s">
        <v>41</v>
      </c>
      <c r="K66" s="16"/>
      <c r="L66" s="16"/>
    </row>
  </sheetData>
  <autoFilter ref="A1:L66" xr:uid="{00000000-0009-0000-0000-000001000000}"/>
  <conditionalFormatting sqref="H2:H66">
    <cfRule type="cellIs" dxfId="42" priority="1" operator="equal">
      <formula>"Đã có"</formula>
    </cfRule>
    <cfRule type="cellIs" dxfId="41" priority="2" operator="equal">
      <formula>"Một phần"</formula>
    </cfRule>
    <cfRule type="cellIs" dxfId="40" priority="3" operator="equal">
      <formula>"Chưa có"</formula>
    </cfRule>
    <cfRule type="cellIs" dxfId="39" priority="4" operator="equal">
      <formula>"Cần kiểm tra"</formula>
    </cfRule>
  </conditionalFormatting>
  <conditionalFormatting sqref="J2:J66">
    <cfRule type="cellIs" dxfId="38" priority="5" operator="equal">
      <formula>"Đạt"</formula>
    </cfRule>
    <cfRule type="cellIs" dxfId="37" priority="6" operator="equal">
      <formula>"Chưa đạt"</formula>
    </cfRule>
  </conditionalFormatting>
  <dataValidations count="2">
    <dataValidation type="list" sqref="H2:H66" xr:uid="{00000000-0002-0000-0100-000000000000}">
      <formula1>"Đã có,Một phần,Chưa có,Cần kiểm tra"</formula1>
    </dataValidation>
    <dataValidation type="list" allowBlank="1" sqref="J2:J66" xr:uid="{00000000-0002-0000-0100-000001000000}">
      <formula1>"Đạt,Chưa đạt,Chưa kiểm"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workbookViewId="0">
      <pane ySplit="1" topLeftCell="A2" activePane="bottomLeft" state="frozen"/>
      <selection pane="bottomLeft" activeCell="E14" sqref="E14"/>
    </sheetView>
  </sheetViews>
  <sheetFormatPr defaultRowHeight="14.6" x14ac:dyDescent="0.4"/>
  <cols>
    <col min="1" max="1" width="5" customWidth="1"/>
    <col min="2" max="2" width="8" customWidth="1"/>
    <col min="3" max="3" width="11" customWidth="1"/>
    <col min="4" max="4" width="26" customWidth="1"/>
    <col min="5" max="5" width="52" customWidth="1"/>
    <col min="6" max="6" width="15" customWidth="1"/>
    <col min="7" max="7" width="10" customWidth="1"/>
    <col min="8" max="8" width="15" customWidth="1"/>
    <col min="9" max="9" width="44" customWidth="1"/>
    <col min="10" max="11" width="14" customWidth="1"/>
    <col min="12" max="12" width="30" customWidth="1"/>
  </cols>
  <sheetData>
    <row r="1" spans="1:12" ht="29.15" x14ac:dyDescent="0.4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12" ht="29.15" x14ac:dyDescent="0.4">
      <c r="A2" s="16">
        <v>1</v>
      </c>
      <c r="B2" s="16" t="s">
        <v>244</v>
      </c>
      <c r="C2" s="16" t="s">
        <v>245</v>
      </c>
      <c r="D2" s="16" t="s">
        <v>246</v>
      </c>
      <c r="E2" s="16" t="s">
        <v>247</v>
      </c>
      <c r="F2" s="16" t="s">
        <v>248</v>
      </c>
      <c r="G2" s="16" t="s">
        <v>39</v>
      </c>
      <c r="H2" s="16" t="s">
        <v>5</v>
      </c>
      <c r="I2" s="16" t="s">
        <v>249</v>
      </c>
      <c r="J2" s="16" t="s">
        <v>41</v>
      </c>
      <c r="K2" s="16"/>
      <c r="L2" s="16"/>
    </row>
    <row r="3" spans="1:12" x14ac:dyDescent="0.4">
      <c r="A3" s="16">
        <v>2</v>
      </c>
      <c r="B3" s="16" t="s">
        <v>250</v>
      </c>
      <c r="C3" s="16" t="s">
        <v>245</v>
      </c>
      <c r="D3" s="16" t="s">
        <v>246</v>
      </c>
      <c r="E3" s="16" t="s">
        <v>251</v>
      </c>
      <c r="F3" s="16" t="s">
        <v>248</v>
      </c>
      <c r="G3" s="16" t="s">
        <v>39</v>
      </c>
      <c r="H3" s="16" t="s">
        <v>5</v>
      </c>
      <c r="I3" s="16"/>
      <c r="J3" s="16" t="s">
        <v>41</v>
      </c>
      <c r="K3" s="16"/>
      <c r="L3" s="16"/>
    </row>
    <row r="4" spans="1:12" x14ac:dyDescent="0.4">
      <c r="A4" s="16">
        <v>3</v>
      </c>
      <c r="B4" s="16" t="s">
        <v>252</v>
      </c>
      <c r="C4" s="16" t="s">
        <v>245</v>
      </c>
      <c r="D4" s="16" t="s">
        <v>246</v>
      </c>
      <c r="E4" s="16" t="s">
        <v>253</v>
      </c>
      <c r="F4" s="16" t="s">
        <v>248</v>
      </c>
      <c r="G4" s="16" t="s">
        <v>39</v>
      </c>
      <c r="H4" s="16" t="s">
        <v>7</v>
      </c>
      <c r="I4" s="16"/>
      <c r="J4" s="16" t="s">
        <v>41</v>
      </c>
      <c r="K4" s="16"/>
      <c r="L4" s="16"/>
    </row>
    <row r="5" spans="1:12" x14ac:dyDescent="0.4">
      <c r="A5" s="16">
        <v>4</v>
      </c>
      <c r="B5" s="16" t="s">
        <v>254</v>
      </c>
      <c r="C5" s="16" t="s">
        <v>245</v>
      </c>
      <c r="D5" s="16" t="s">
        <v>255</v>
      </c>
      <c r="E5" s="16" t="s">
        <v>256</v>
      </c>
      <c r="F5" s="16" t="s">
        <v>257</v>
      </c>
      <c r="G5" s="16" t="s">
        <v>39</v>
      </c>
      <c r="H5" s="16" t="s">
        <v>4</v>
      </c>
      <c r="I5" s="16" t="s">
        <v>258</v>
      </c>
      <c r="J5" s="16" t="s">
        <v>41</v>
      </c>
      <c r="K5" s="16"/>
      <c r="L5" s="16"/>
    </row>
    <row r="6" spans="1:12" x14ac:dyDescent="0.4">
      <c r="A6" s="16">
        <v>5</v>
      </c>
      <c r="B6" s="16" t="s">
        <v>259</v>
      </c>
      <c r="C6" s="16" t="s">
        <v>245</v>
      </c>
      <c r="D6" s="16" t="s">
        <v>255</v>
      </c>
      <c r="E6" s="16" t="s">
        <v>260</v>
      </c>
      <c r="F6" s="16" t="s">
        <v>257</v>
      </c>
      <c r="G6" s="16" t="s">
        <v>39</v>
      </c>
      <c r="H6" s="16" t="s">
        <v>5</v>
      </c>
      <c r="I6" s="16"/>
      <c r="J6" s="16" t="s">
        <v>41</v>
      </c>
      <c r="K6" s="16"/>
      <c r="L6" s="16"/>
    </row>
    <row r="7" spans="1:12" x14ac:dyDescent="0.4">
      <c r="A7" s="16">
        <v>6</v>
      </c>
      <c r="B7" s="16" t="s">
        <v>261</v>
      </c>
      <c r="C7" s="16" t="s">
        <v>245</v>
      </c>
      <c r="D7" s="16" t="s">
        <v>255</v>
      </c>
      <c r="E7" s="16" t="s">
        <v>262</v>
      </c>
      <c r="F7" s="16" t="s">
        <v>257</v>
      </c>
      <c r="G7" s="16" t="s">
        <v>39</v>
      </c>
      <c r="H7" s="16" t="s">
        <v>6</v>
      </c>
      <c r="I7" s="16" t="s">
        <v>263</v>
      </c>
      <c r="J7" s="16" t="s">
        <v>41</v>
      </c>
      <c r="K7" s="16"/>
      <c r="L7" s="16"/>
    </row>
    <row r="8" spans="1:12" x14ac:dyDescent="0.4">
      <c r="A8" s="16">
        <v>7</v>
      </c>
      <c r="B8" s="16" t="s">
        <v>264</v>
      </c>
      <c r="C8" s="16" t="s">
        <v>245</v>
      </c>
      <c r="D8" s="16" t="s">
        <v>255</v>
      </c>
      <c r="E8" s="16" t="s">
        <v>265</v>
      </c>
      <c r="F8" s="16" t="s">
        <v>257</v>
      </c>
      <c r="G8" s="16" t="s">
        <v>39</v>
      </c>
      <c r="H8" s="16" t="s">
        <v>5</v>
      </c>
      <c r="I8" s="16" t="s">
        <v>266</v>
      </c>
      <c r="J8" s="16" t="s">
        <v>41</v>
      </c>
      <c r="K8" s="16"/>
      <c r="L8" s="16"/>
    </row>
    <row r="9" spans="1:12" ht="29.15" x14ac:dyDescent="0.4">
      <c r="A9" s="16">
        <v>8</v>
      </c>
      <c r="B9" s="16" t="s">
        <v>267</v>
      </c>
      <c r="C9" s="16" t="s">
        <v>245</v>
      </c>
      <c r="D9" s="16" t="s">
        <v>255</v>
      </c>
      <c r="E9" s="16" t="s">
        <v>268</v>
      </c>
      <c r="F9" s="16" t="s">
        <v>269</v>
      </c>
      <c r="G9" s="16" t="s">
        <v>39</v>
      </c>
      <c r="H9" s="16" t="s">
        <v>4</v>
      </c>
      <c r="I9" s="16" t="s">
        <v>270</v>
      </c>
      <c r="J9" s="16" t="s">
        <v>41</v>
      </c>
      <c r="K9" s="16"/>
      <c r="L9" s="16"/>
    </row>
    <row r="10" spans="1:12" x14ac:dyDescent="0.4">
      <c r="A10" s="16">
        <v>9</v>
      </c>
      <c r="B10" s="16" t="s">
        <v>271</v>
      </c>
      <c r="C10" s="16" t="s">
        <v>245</v>
      </c>
      <c r="D10" s="16" t="s">
        <v>255</v>
      </c>
      <c r="E10" s="16" t="s">
        <v>272</v>
      </c>
      <c r="F10" s="16" t="s">
        <v>269</v>
      </c>
      <c r="G10" s="16" t="s">
        <v>39</v>
      </c>
      <c r="H10" s="16" t="s">
        <v>4</v>
      </c>
      <c r="I10" s="16" t="s">
        <v>273</v>
      </c>
      <c r="J10" s="16" t="s">
        <v>41</v>
      </c>
      <c r="K10" s="16"/>
      <c r="L10" s="16"/>
    </row>
    <row r="11" spans="1:12" x14ac:dyDescent="0.4">
      <c r="A11" s="16">
        <v>10</v>
      </c>
      <c r="B11" s="16" t="s">
        <v>274</v>
      </c>
      <c r="C11" s="16" t="s">
        <v>245</v>
      </c>
      <c r="D11" s="16" t="s">
        <v>255</v>
      </c>
      <c r="E11" s="16" t="s">
        <v>275</v>
      </c>
      <c r="F11" s="16" t="s">
        <v>269</v>
      </c>
      <c r="G11" s="16" t="s">
        <v>39</v>
      </c>
      <c r="H11" s="16" t="s">
        <v>6</v>
      </c>
      <c r="I11" s="16"/>
      <c r="J11" s="16" t="s">
        <v>41</v>
      </c>
      <c r="K11" s="16"/>
      <c r="L11" s="16"/>
    </row>
    <row r="12" spans="1:12" x14ac:dyDescent="0.4">
      <c r="A12" s="16">
        <v>11</v>
      </c>
      <c r="B12" s="16" t="s">
        <v>276</v>
      </c>
      <c r="C12" s="16" t="s">
        <v>245</v>
      </c>
      <c r="D12" s="16" t="s">
        <v>255</v>
      </c>
      <c r="E12" s="16" t="s">
        <v>277</v>
      </c>
      <c r="F12" s="16" t="s">
        <v>269</v>
      </c>
      <c r="G12" s="16" t="s">
        <v>39</v>
      </c>
      <c r="H12" s="16" t="s">
        <v>4</v>
      </c>
      <c r="I12" s="16" t="s">
        <v>278</v>
      </c>
      <c r="J12" s="16" t="s">
        <v>41</v>
      </c>
      <c r="K12" s="16"/>
      <c r="L12" s="16"/>
    </row>
    <row r="13" spans="1:12" x14ac:dyDescent="0.4">
      <c r="A13" s="16">
        <v>12</v>
      </c>
      <c r="B13" s="16" t="s">
        <v>279</v>
      </c>
      <c r="C13" s="16" t="s">
        <v>245</v>
      </c>
      <c r="D13" s="16" t="s">
        <v>280</v>
      </c>
      <c r="E13" s="16" t="s">
        <v>281</v>
      </c>
      <c r="F13" s="16" t="s">
        <v>282</v>
      </c>
      <c r="G13" s="16" t="s">
        <v>39</v>
      </c>
      <c r="H13" s="16" t="s">
        <v>4</v>
      </c>
      <c r="I13" s="16"/>
      <c r="J13" s="16" t="s">
        <v>41</v>
      </c>
      <c r="K13" s="16"/>
      <c r="L13" s="16"/>
    </row>
    <row r="14" spans="1:12" x14ac:dyDescent="0.4">
      <c r="A14" s="16">
        <v>13</v>
      </c>
      <c r="B14" s="16" t="s">
        <v>283</v>
      </c>
      <c r="C14" s="16" t="s">
        <v>245</v>
      </c>
      <c r="D14" s="16" t="s">
        <v>280</v>
      </c>
      <c r="E14" s="16" t="s">
        <v>284</v>
      </c>
      <c r="F14" s="16" t="s">
        <v>282</v>
      </c>
      <c r="G14" s="16" t="s">
        <v>39</v>
      </c>
      <c r="H14" s="16" t="s">
        <v>4</v>
      </c>
      <c r="I14" s="16"/>
      <c r="J14" s="16" t="s">
        <v>41</v>
      </c>
      <c r="K14" s="16"/>
      <c r="L14" s="16"/>
    </row>
    <row r="15" spans="1:12" x14ac:dyDescent="0.4">
      <c r="A15" s="16">
        <v>14</v>
      </c>
      <c r="B15" s="16" t="s">
        <v>285</v>
      </c>
      <c r="C15" s="16" t="s">
        <v>245</v>
      </c>
      <c r="D15" s="16" t="s">
        <v>280</v>
      </c>
      <c r="E15" s="16" t="s">
        <v>286</v>
      </c>
      <c r="F15" s="16" t="s">
        <v>282</v>
      </c>
      <c r="G15" s="16" t="s">
        <v>39</v>
      </c>
      <c r="H15" s="16" t="s">
        <v>7</v>
      </c>
      <c r="I15" s="16" t="s">
        <v>287</v>
      </c>
      <c r="J15" s="16" t="s">
        <v>41</v>
      </c>
      <c r="K15" s="16"/>
      <c r="L15" s="16"/>
    </row>
    <row r="16" spans="1:12" x14ac:dyDescent="0.4">
      <c r="A16" s="16">
        <v>15</v>
      </c>
      <c r="B16" s="16" t="s">
        <v>288</v>
      </c>
      <c r="C16" s="16" t="s">
        <v>245</v>
      </c>
      <c r="D16" s="16" t="s">
        <v>280</v>
      </c>
      <c r="E16" s="16" t="s">
        <v>289</v>
      </c>
      <c r="F16" s="16" t="s">
        <v>282</v>
      </c>
      <c r="G16" s="16" t="s">
        <v>39</v>
      </c>
      <c r="H16" s="16" t="s">
        <v>4</v>
      </c>
      <c r="I16" s="16"/>
      <c r="J16" s="16" t="s">
        <v>41</v>
      </c>
      <c r="K16" s="16"/>
      <c r="L16" s="16"/>
    </row>
    <row r="17" spans="1:12" x14ac:dyDescent="0.4">
      <c r="A17" s="16">
        <v>16</v>
      </c>
      <c r="B17" s="16" t="s">
        <v>290</v>
      </c>
      <c r="C17" s="16" t="s">
        <v>245</v>
      </c>
      <c r="D17" s="16" t="s">
        <v>291</v>
      </c>
      <c r="E17" s="16" t="s">
        <v>292</v>
      </c>
      <c r="F17" s="16" t="s">
        <v>293</v>
      </c>
      <c r="G17" s="16" t="s">
        <v>39</v>
      </c>
      <c r="H17" s="16" t="s">
        <v>4</v>
      </c>
      <c r="I17" s="16"/>
      <c r="J17" s="16" t="s">
        <v>41</v>
      </c>
      <c r="K17" s="16"/>
      <c r="L17" s="16"/>
    </row>
    <row r="18" spans="1:12" x14ac:dyDescent="0.4">
      <c r="A18" s="16">
        <v>17</v>
      </c>
      <c r="B18" s="16" t="s">
        <v>294</v>
      </c>
      <c r="C18" s="16" t="s">
        <v>245</v>
      </c>
      <c r="D18" s="16" t="s">
        <v>291</v>
      </c>
      <c r="E18" s="16" t="s">
        <v>295</v>
      </c>
      <c r="F18" s="16" t="s">
        <v>293</v>
      </c>
      <c r="G18" s="16" t="s">
        <v>39</v>
      </c>
      <c r="H18" s="16" t="s">
        <v>5</v>
      </c>
      <c r="I18" s="16" t="s">
        <v>296</v>
      </c>
      <c r="J18" s="16" t="s">
        <v>41</v>
      </c>
      <c r="K18" s="16"/>
      <c r="L18" s="16"/>
    </row>
    <row r="19" spans="1:12" x14ac:dyDescent="0.4">
      <c r="A19" s="16">
        <v>18</v>
      </c>
      <c r="B19" s="16" t="s">
        <v>297</v>
      </c>
      <c r="C19" s="16" t="s">
        <v>245</v>
      </c>
      <c r="D19" s="16" t="s">
        <v>291</v>
      </c>
      <c r="E19" s="16" t="s">
        <v>298</v>
      </c>
      <c r="F19" s="16" t="s">
        <v>293</v>
      </c>
      <c r="G19" s="16" t="s">
        <v>39</v>
      </c>
      <c r="H19" s="16" t="s">
        <v>4</v>
      </c>
      <c r="I19" s="16"/>
      <c r="J19" s="16" t="s">
        <v>41</v>
      </c>
      <c r="K19" s="16"/>
      <c r="L19" s="16"/>
    </row>
    <row r="20" spans="1:12" x14ac:dyDescent="0.4">
      <c r="A20" s="16">
        <v>19</v>
      </c>
      <c r="B20" s="16" t="s">
        <v>299</v>
      </c>
      <c r="C20" s="16" t="s">
        <v>245</v>
      </c>
      <c r="D20" s="16" t="s">
        <v>291</v>
      </c>
      <c r="E20" s="16" t="s">
        <v>300</v>
      </c>
      <c r="F20" s="16" t="s">
        <v>293</v>
      </c>
      <c r="G20" s="16" t="s">
        <v>39</v>
      </c>
      <c r="H20" s="16" t="s">
        <v>4</v>
      </c>
      <c r="I20" s="16" t="s">
        <v>301</v>
      </c>
      <c r="J20" s="16" t="s">
        <v>41</v>
      </c>
      <c r="K20" s="16"/>
      <c r="L20" s="16"/>
    </row>
    <row r="21" spans="1:12" x14ac:dyDescent="0.4">
      <c r="A21" s="16">
        <v>20</v>
      </c>
      <c r="B21" s="16" t="s">
        <v>302</v>
      </c>
      <c r="C21" s="16" t="s">
        <v>245</v>
      </c>
      <c r="D21" s="16" t="s">
        <v>291</v>
      </c>
      <c r="E21" s="16" t="s">
        <v>303</v>
      </c>
      <c r="F21" s="16" t="s">
        <v>293</v>
      </c>
      <c r="G21" s="16" t="s">
        <v>39</v>
      </c>
      <c r="H21" s="16" t="s">
        <v>6</v>
      </c>
      <c r="I21" s="16"/>
      <c r="J21" s="16" t="s">
        <v>41</v>
      </c>
      <c r="K21" s="16"/>
      <c r="L21" s="16"/>
    </row>
    <row r="22" spans="1:12" x14ac:dyDescent="0.4">
      <c r="A22" s="16">
        <v>21</v>
      </c>
      <c r="B22" s="16" t="s">
        <v>304</v>
      </c>
      <c r="C22" s="16" t="s">
        <v>245</v>
      </c>
      <c r="D22" s="16" t="s">
        <v>291</v>
      </c>
      <c r="E22" s="16" t="s">
        <v>305</v>
      </c>
      <c r="F22" s="16" t="s">
        <v>293</v>
      </c>
      <c r="G22" s="16" t="s">
        <v>39</v>
      </c>
      <c r="H22" s="16" t="s">
        <v>6</v>
      </c>
      <c r="I22" s="16"/>
      <c r="J22" s="16" t="s">
        <v>41</v>
      </c>
      <c r="K22" s="16"/>
      <c r="L22" s="16"/>
    </row>
    <row r="23" spans="1:12" x14ac:dyDescent="0.4">
      <c r="A23" s="16">
        <v>22</v>
      </c>
      <c r="B23" s="16" t="s">
        <v>306</v>
      </c>
      <c r="C23" s="16" t="s">
        <v>245</v>
      </c>
      <c r="D23" s="16" t="s">
        <v>307</v>
      </c>
      <c r="E23" s="16" t="s">
        <v>308</v>
      </c>
      <c r="F23" s="16" t="s">
        <v>309</v>
      </c>
      <c r="G23" s="16" t="s">
        <v>153</v>
      </c>
      <c r="H23" s="16" t="s">
        <v>5</v>
      </c>
      <c r="I23" s="16" t="s">
        <v>310</v>
      </c>
      <c r="J23" s="16" t="s">
        <v>41</v>
      </c>
      <c r="K23" s="16"/>
      <c r="L23" s="16"/>
    </row>
    <row r="24" spans="1:12" x14ac:dyDescent="0.4">
      <c r="A24" s="16">
        <v>23</v>
      </c>
      <c r="B24" s="16" t="s">
        <v>311</v>
      </c>
      <c r="C24" s="16" t="s">
        <v>245</v>
      </c>
      <c r="D24" s="16" t="s">
        <v>307</v>
      </c>
      <c r="E24" s="16" t="s">
        <v>312</v>
      </c>
      <c r="F24" s="16" t="s">
        <v>309</v>
      </c>
      <c r="G24" s="16" t="s">
        <v>153</v>
      </c>
      <c r="H24" s="16" t="s">
        <v>5</v>
      </c>
      <c r="I24" s="16"/>
      <c r="J24" s="16" t="s">
        <v>41</v>
      </c>
      <c r="K24" s="16"/>
      <c r="L24" s="16"/>
    </row>
    <row r="25" spans="1:12" x14ac:dyDescent="0.4">
      <c r="A25" s="16">
        <v>24</v>
      </c>
      <c r="B25" s="16" t="s">
        <v>313</v>
      </c>
      <c r="C25" s="16" t="s">
        <v>158</v>
      </c>
      <c r="D25" s="16" t="s">
        <v>314</v>
      </c>
      <c r="E25" s="16" t="s">
        <v>315</v>
      </c>
      <c r="F25" s="16" t="s">
        <v>316</v>
      </c>
      <c r="G25" s="16" t="s">
        <v>39</v>
      </c>
      <c r="H25" s="16" t="s">
        <v>4</v>
      </c>
      <c r="I25" s="16" t="s">
        <v>317</v>
      </c>
      <c r="J25" s="16" t="s">
        <v>41</v>
      </c>
      <c r="K25" s="16"/>
      <c r="L25" s="16"/>
    </row>
    <row r="26" spans="1:12" x14ac:dyDescent="0.4">
      <c r="A26" s="16">
        <v>25</v>
      </c>
      <c r="B26" s="16" t="s">
        <v>318</v>
      </c>
      <c r="C26" s="16" t="s">
        <v>158</v>
      </c>
      <c r="D26" s="16" t="s">
        <v>314</v>
      </c>
      <c r="E26" s="16" t="s">
        <v>319</v>
      </c>
      <c r="F26" s="16" t="s">
        <v>316</v>
      </c>
      <c r="G26" s="16" t="s">
        <v>39</v>
      </c>
      <c r="H26" s="16" t="s">
        <v>4</v>
      </c>
      <c r="I26" s="16" t="s">
        <v>320</v>
      </c>
      <c r="J26" s="16" t="s">
        <v>41</v>
      </c>
      <c r="K26" s="16"/>
      <c r="L26" s="16"/>
    </row>
    <row r="27" spans="1:12" x14ac:dyDescent="0.4">
      <c r="A27" s="16">
        <v>26</v>
      </c>
      <c r="B27" s="16" t="s">
        <v>321</v>
      </c>
      <c r="C27" s="16" t="s">
        <v>158</v>
      </c>
      <c r="D27" s="16" t="s">
        <v>314</v>
      </c>
      <c r="E27" s="16" t="s">
        <v>322</v>
      </c>
      <c r="F27" s="16" t="s">
        <v>316</v>
      </c>
      <c r="G27" s="16" t="s">
        <v>39</v>
      </c>
      <c r="H27" s="16" t="s">
        <v>6</v>
      </c>
      <c r="I27" s="16"/>
      <c r="J27" s="16" t="s">
        <v>41</v>
      </c>
      <c r="K27" s="16"/>
      <c r="L27" s="16"/>
    </row>
    <row r="28" spans="1:12" x14ac:dyDescent="0.4">
      <c r="A28" s="16">
        <v>27</v>
      </c>
      <c r="B28" s="16" t="s">
        <v>323</v>
      </c>
      <c r="C28" s="16" t="s">
        <v>158</v>
      </c>
      <c r="D28" s="16" t="s">
        <v>314</v>
      </c>
      <c r="E28" s="16" t="s">
        <v>324</v>
      </c>
      <c r="F28" s="16" t="s">
        <v>316</v>
      </c>
      <c r="G28" s="16" t="s">
        <v>39</v>
      </c>
      <c r="H28" s="16" t="s">
        <v>4</v>
      </c>
      <c r="I28" s="16" t="s">
        <v>325</v>
      </c>
      <c r="J28" s="16" t="s">
        <v>41</v>
      </c>
      <c r="K28" s="16"/>
      <c r="L28" s="16"/>
    </row>
    <row r="29" spans="1:12" x14ac:dyDescent="0.4">
      <c r="A29" s="16">
        <v>28</v>
      </c>
      <c r="B29" s="16" t="s">
        <v>326</v>
      </c>
      <c r="C29" s="16" t="s">
        <v>158</v>
      </c>
      <c r="D29" s="16" t="s">
        <v>314</v>
      </c>
      <c r="E29" s="16" t="s">
        <v>327</v>
      </c>
      <c r="F29" s="16" t="s">
        <v>316</v>
      </c>
      <c r="G29" s="16" t="s">
        <v>39</v>
      </c>
      <c r="H29" s="16" t="s">
        <v>5</v>
      </c>
      <c r="I29" s="16" t="s">
        <v>328</v>
      </c>
      <c r="J29" s="16" t="s">
        <v>41</v>
      </c>
      <c r="K29" s="16"/>
      <c r="L29" s="16"/>
    </row>
    <row r="30" spans="1:12" x14ac:dyDescent="0.4">
      <c r="A30" s="16">
        <v>29</v>
      </c>
      <c r="B30" s="16" t="s">
        <v>329</v>
      </c>
      <c r="C30" s="16" t="s">
        <v>158</v>
      </c>
      <c r="D30" s="16" t="s">
        <v>330</v>
      </c>
      <c r="E30" s="16" t="s">
        <v>331</v>
      </c>
      <c r="F30" s="16" t="s">
        <v>316</v>
      </c>
      <c r="G30" s="16" t="s">
        <v>123</v>
      </c>
      <c r="H30" s="16" t="s">
        <v>4</v>
      </c>
      <c r="I30" s="16"/>
      <c r="J30" s="16" t="s">
        <v>41</v>
      </c>
      <c r="K30" s="16"/>
      <c r="L30" s="16"/>
    </row>
    <row r="31" spans="1:12" x14ac:dyDescent="0.4">
      <c r="A31" s="16">
        <v>30</v>
      </c>
      <c r="B31" s="16" t="s">
        <v>332</v>
      </c>
      <c r="C31" s="16" t="s">
        <v>158</v>
      </c>
      <c r="D31" s="16" t="s">
        <v>330</v>
      </c>
      <c r="E31" s="16" t="s">
        <v>333</v>
      </c>
      <c r="F31" s="16" t="s">
        <v>316</v>
      </c>
      <c r="G31" s="16" t="s">
        <v>123</v>
      </c>
      <c r="H31" s="16" t="s">
        <v>4</v>
      </c>
      <c r="I31" s="16" t="s">
        <v>334</v>
      </c>
      <c r="J31" s="16" t="s">
        <v>41</v>
      </c>
      <c r="K31" s="16"/>
      <c r="L31" s="16"/>
    </row>
    <row r="32" spans="1:12" ht="29.15" x14ac:dyDescent="0.4">
      <c r="A32" s="16">
        <v>31</v>
      </c>
      <c r="B32" s="16" t="s">
        <v>335</v>
      </c>
      <c r="C32" s="16" t="s">
        <v>158</v>
      </c>
      <c r="D32" s="16" t="s">
        <v>336</v>
      </c>
      <c r="E32" s="16" t="s">
        <v>337</v>
      </c>
      <c r="F32" s="16" t="s">
        <v>133</v>
      </c>
      <c r="G32" s="16" t="s">
        <v>123</v>
      </c>
      <c r="H32" s="16" t="s">
        <v>5</v>
      </c>
      <c r="I32" s="16" t="s">
        <v>338</v>
      </c>
      <c r="J32" s="16" t="s">
        <v>41</v>
      </c>
      <c r="K32" s="16"/>
      <c r="L32" s="16"/>
    </row>
    <row r="33" spans="1:12" x14ac:dyDescent="0.4">
      <c r="A33" s="16">
        <v>32</v>
      </c>
      <c r="B33" s="16" t="s">
        <v>339</v>
      </c>
      <c r="C33" s="16" t="s">
        <v>158</v>
      </c>
      <c r="D33" s="16" t="s">
        <v>336</v>
      </c>
      <c r="E33" s="16" t="s">
        <v>340</v>
      </c>
      <c r="F33" s="16" t="s">
        <v>133</v>
      </c>
      <c r="G33" s="16" t="s">
        <v>123</v>
      </c>
      <c r="H33" s="16" t="s">
        <v>7</v>
      </c>
      <c r="I33" s="16" t="s">
        <v>341</v>
      </c>
      <c r="J33" s="16" t="s">
        <v>41</v>
      </c>
      <c r="K33" s="16"/>
      <c r="L33" s="16"/>
    </row>
    <row r="34" spans="1:12" x14ac:dyDescent="0.4">
      <c r="A34" s="16">
        <v>33</v>
      </c>
      <c r="B34" s="16" t="s">
        <v>342</v>
      </c>
      <c r="C34" s="16" t="s">
        <v>343</v>
      </c>
      <c r="D34" s="16" t="s">
        <v>344</v>
      </c>
      <c r="E34" s="16" t="s">
        <v>345</v>
      </c>
      <c r="F34" s="16" t="s">
        <v>346</v>
      </c>
      <c r="G34" s="16" t="s">
        <v>39</v>
      </c>
      <c r="H34" s="16" t="s">
        <v>4</v>
      </c>
      <c r="I34" s="16" t="s">
        <v>347</v>
      </c>
      <c r="J34" s="16" t="s">
        <v>41</v>
      </c>
      <c r="K34" s="16"/>
      <c r="L34" s="16"/>
    </row>
    <row r="35" spans="1:12" x14ac:dyDescent="0.4">
      <c r="A35" s="16">
        <v>34</v>
      </c>
      <c r="B35" s="16" t="s">
        <v>348</v>
      </c>
      <c r="C35" s="16" t="s">
        <v>343</v>
      </c>
      <c r="D35" s="16" t="s">
        <v>344</v>
      </c>
      <c r="E35" s="16" t="s">
        <v>349</v>
      </c>
      <c r="F35" s="16" t="s">
        <v>346</v>
      </c>
      <c r="G35" s="16" t="s">
        <v>39</v>
      </c>
      <c r="H35" s="16" t="s">
        <v>5</v>
      </c>
      <c r="I35" s="16"/>
      <c r="J35" s="16" t="s">
        <v>41</v>
      </c>
      <c r="K35" s="16"/>
      <c r="L35" s="16"/>
    </row>
    <row r="36" spans="1:12" x14ac:dyDescent="0.4">
      <c r="A36" s="16">
        <v>35</v>
      </c>
      <c r="B36" s="16" t="s">
        <v>350</v>
      </c>
      <c r="C36" s="16" t="s">
        <v>343</v>
      </c>
      <c r="D36" s="16" t="s">
        <v>344</v>
      </c>
      <c r="E36" s="16" t="s">
        <v>351</v>
      </c>
      <c r="F36" s="16" t="s">
        <v>346</v>
      </c>
      <c r="G36" s="16" t="s">
        <v>39</v>
      </c>
      <c r="H36" s="16" t="s">
        <v>5</v>
      </c>
      <c r="I36" s="16" t="s">
        <v>352</v>
      </c>
      <c r="J36" s="16" t="s">
        <v>41</v>
      </c>
      <c r="K36" s="16"/>
      <c r="L36" s="16"/>
    </row>
    <row r="37" spans="1:12" x14ac:dyDescent="0.4">
      <c r="A37" s="16">
        <v>36</v>
      </c>
      <c r="B37" s="16" t="s">
        <v>353</v>
      </c>
      <c r="C37" s="16" t="s">
        <v>343</v>
      </c>
      <c r="D37" s="16" t="s">
        <v>344</v>
      </c>
      <c r="E37" s="16" t="s">
        <v>354</v>
      </c>
      <c r="F37" s="16" t="s">
        <v>346</v>
      </c>
      <c r="G37" s="16" t="s">
        <v>39</v>
      </c>
      <c r="H37" s="16" t="s">
        <v>4</v>
      </c>
      <c r="I37" s="16" t="s">
        <v>355</v>
      </c>
      <c r="J37" s="16" t="s">
        <v>41</v>
      </c>
      <c r="K37" s="16"/>
      <c r="L37" s="16"/>
    </row>
    <row r="38" spans="1:12" x14ac:dyDescent="0.4">
      <c r="A38" s="16">
        <v>37</v>
      </c>
      <c r="B38" s="16" t="s">
        <v>356</v>
      </c>
      <c r="C38" s="16" t="s">
        <v>343</v>
      </c>
      <c r="D38" s="16" t="s">
        <v>344</v>
      </c>
      <c r="E38" s="16" t="s">
        <v>357</v>
      </c>
      <c r="F38" s="16" t="s">
        <v>346</v>
      </c>
      <c r="G38" s="16" t="s">
        <v>39</v>
      </c>
      <c r="H38" s="16" t="s">
        <v>4</v>
      </c>
      <c r="I38" s="16" t="s">
        <v>358</v>
      </c>
      <c r="J38" s="16" t="s">
        <v>41</v>
      </c>
      <c r="K38" s="16"/>
      <c r="L38" s="16"/>
    </row>
    <row r="39" spans="1:12" x14ac:dyDescent="0.4">
      <c r="A39" s="16">
        <v>38</v>
      </c>
      <c r="B39" s="16" t="s">
        <v>359</v>
      </c>
      <c r="C39" s="16" t="s">
        <v>227</v>
      </c>
      <c r="D39" s="16" t="s">
        <v>360</v>
      </c>
      <c r="E39" s="16" t="s">
        <v>361</v>
      </c>
      <c r="F39" s="16" t="s">
        <v>362</v>
      </c>
      <c r="G39" s="16" t="s">
        <v>39</v>
      </c>
      <c r="H39" s="16" t="s">
        <v>5</v>
      </c>
      <c r="I39" s="16"/>
      <c r="J39" s="16" t="s">
        <v>41</v>
      </c>
      <c r="K39" s="16"/>
      <c r="L39" s="16"/>
    </row>
    <row r="40" spans="1:12" x14ac:dyDescent="0.4">
      <c r="A40" s="16">
        <v>39</v>
      </c>
      <c r="B40" s="16" t="s">
        <v>363</v>
      </c>
      <c r="C40" s="16" t="s">
        <v>227</v>
      </c>
      <c r="D40" s="16" t="s">
        <v>360</v>
      </c>
      <c r="E40" s="16" t="s">
        <v>364</v>
      </c>
      <c r="F40" s="16" t="s">
        <v>362</v>
      </c>
      <c r="G40" s="16" t="s">
        <v>39</v>
      </c>
      <c r="H40" s="16" t="s">
        <v>5</v>
      </c>
      <c r="I40" s="16" t="s">
        <v>365</v>
      </c>
      <c r="J40" s="16" t="s">
        <v>41</v>
      </c>
      <c r="K40" s="16"/>
      <c r="L40" s="16"/>
    </row>
    <row r="41" spans="1:12" x14ac:dyDescent="0.4">
      <c r="A41" s="16">
        <v>40</v>
      </c>
      <c r="B41" s="16" t="s">
        <v>366</v>
      </c>
      <c r="C41" s="16" t="s">
        <v>235</v>
      </c>
      <c r="D41" s="16" t="s">
        <v>367</v>
      </c>
      <c r="E41" s="16" t="s">
        <v>368</v>
      </c>
      <c r="F41" s="16" t="s">
        <v>235</v>
      </c>
      <c r="G41" s="16" t="s">
        <v>123</v>
      </c>
      <c r="H41" s="16" t="s">
        <v>5</v>
      </c>
      <c r="I41" s="16" t="s">
        <v>369</v>
      </c>
      <c r="J41" s="16" t="s">
        <v>41</v>
      </c>
      <c r="K41" s="16"/>
      <c r="L41" s="16"/>
    </row>
    <row r="42" spans="1:12" x14ac:dyDescent="0.4">
      <c r="A42" s="16">
        <v>41</v>
      </c>
      <c r="B42" s="16" t="s">
        <v>370</v>
      </c>
      <c r="C42" s="16" t="s">
        <v>235</v>
      </c>
      <c r="D42" s="16" t="s">
        <v>367</v>
      </c>
      <c r="E42" s="16" t="s">
        <v>371</v>
      </c>
      <c r="F42" s="16" t="s">
        <v>235</v>
      </c>
      <c r="G42" s="16" t="s">
        <v>123</v>
      </c>
      <c r="H42" s="16" t="s">
        <v>5</v>
      </c>
      <c r="I42" s="16"/>
      <c r="J42" s="16" t="s">
        <v>41</v>
      </c>
      <c r="K42" s="16"/>
      <c r="L42" s="16"/>
    </row>
    <row r="43" spans="1:12" x14ac:dyDescent="0.4">
      <c r="A43" s="16">
        <v>42</v>
      </c>
      <c r="B43" s="16" t="s">
        <v>372</v>
      </c>
      <c r="C43" s="16" t="s">
        <v>235</v>
      </c>
      <c r="D43" s="16" t="s">
        <v>373</v>
      </c>
      <c r="E43" s="16" t="s">
        <v>374</v>
      </c>
      <c r="F43" s="16" t="s">
        <v>375</v>
      </c>
      <c r="G43" s="16" t="s">
        <v>123</v>
      </c>
      <c r="H43" s="16" t="s">
        <v>6</v>
      </c>
      <c r="I43" s="16"/>
      <c r="J43" s="16" t="s">
        <v>41</v>
      </c>
      <c r="K43" s="16"/>
      <c r="L43" s="16"/>
    </row>
    <row r="44" spans="1:12" x14ac:dyDescent="0.4">
      <c r="A44" s="16">
        <v>43</v>
      </c>
      <c r="B44" s="16" t="s">
        <v>376</v>
      </c>
      <c r="C44" s="16" t="s">
        <v>235</v>
      </c>
      <c r="D44" s="16" t="s">
        <v>373</v>
      </c>
      <c r="E44" s="16" t="s">
        <v>377</v>
      </c>
      <c r="F44" s="16" t="s">
        <v>375</v>
      </c>
      <c r="G44" s="16" t="s">
        <v>123</v>
      </c>
      <c r="H44" s="16" t="s">
        <v>6</v>
      </c>
      <c r="I44" s="16" t="s">
        <v>378</v>
      </c>
      <c r="J44" s="16" t="s">
        <v>41</v>
      </c>
      <c r="K44" s="16"/>
      <c r="L44" s="16"/>
    </row>
    <row r="45" spans="1:12" x14ac:dyDescent="0.4">
      <c r="A45" s="16">
        <v>44</v>
      </c>
      <c r="B45" s="16" t="s">
        <v>379</v>
      </c>
      <c r="C45" s="16" t="s">
        <v>235</v>
      </c>
      <c r="D45" s="16" t="s">
        <v>373</v>
      </c>
      <c r="E45" s="16" t="s">
        <v>380</v>
      </c>
      <c r="F45" s="16" t="s">
        <v>223</v>
      </c>
      <c r="G45" s="16" t="s">
        <v>123</v>
      </c>
      <c r="H45" s="16" t="s">
        <v>6</v>
      </c>
      <c r="I45" s="16"/>
      <c r="J45" s="16" t="s">
        <v>41</v>
      </c>
      <c r="K45" s="16"/>
      <c r="L45" s="16"/>
    </row>
  </sheetData>
  <autoFilter ref="A1:L45" xr:uid="{00000000-0009-0000-0000-000002000000}"/>
  <conditionalFormatting sqref="H2:H45">
    <cfRule type="cellIs" dxfId="36" priority="1" operator="equal">
      <formula>"Đã có"</formula>
    </cfRule>
    <cfRule type="cellIs" dxfId="35" priority="2" operator="equal">
      <formula>"Một phần"</formula>
    </cfRule>
    <cfRule type="cellIs" dxfId="34" priority="3" operator="equal">
      <formula>"Chưa có"</formula>
    </cfRule>
    <cfRule type="cellIs" dxfId="33" priority="4" operator="equal">
      <formula>"Cần kiểm tra"</formula>
    </cfRule>
  </conditionalFormatting>
  <conditionalFormatting sqref="J2:J45">
    <cfRule type="cellIs" dxfId="32" priority="5" operator="equal">
      <formula>"Đạt"</formula>
    </cfRule>
    <cfRule type="cellIs" dxfId="31" priority="6" operator="equal">
      <formula>"Chưa đạt"</formula>
    </cfRule>
  </conditionalFormatting>
  <dataValidations count="2">
    <dataValidation type="list" sqref="H2:H45" xr:uid="{00000000-0002-0000-0200-000000000000}">
      <formula1>"Đã có,Một phần,Chưa có,Cần kiểm tra"</formula1>
    </dataValidation>
    <dataValidation type="list" allowBlank="1" sqref="J2:J45" xr:uid="{00000000-0002-0000-0200-000001000000}">
      <formula1>"Đạt,Chưa đạt,Chưa kiểm"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5" customWidth="1"/>
    <col min="2" max="2" width="8" customWidth="1"/>
    <col min="3" max="3" width="11" customWidth="1"/>
    <col min="4" max="4" width="26" customWidth="1"/>
    <col min="5" max="5" width="52" customWidth="1"/>
    <col min="6" max="6" width="15" customWidth="1"/>
    <col min="7" max="7" width="10" customWidth="1"/>
    <col min="8" max="8" width="15" customWidth="1"/>
    <col min="9" max="9" width="44" customWidth="1"/>
    <col min="10" max="11" width="14" customWidth="1"/>
    <col min="12" max="12" width="30" customWidth="1"/>
  </cols>
  <sheetData>
    <row r="1" spans="1:12" ht="29.15" x14ac:dyDescent="0.4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12" x14ac:dyDescent="0.4">
      <c r="A2" s="16">
        <v>1</v>
      </c>
      <c r="B2" s="16" t="s">
        <v>381</v>
      </c>
      <c r="C2" s="16" t="s">
        <v>35</v>
      </c>
      <c r="D2" s="16" t="s">
        <v>36</v>
      </c>
      <c r="E2" s="16" t="s">
        <v>382</v>
      </c>
      <c r="F2" s="16" t="s">
        <v>38</v>
      </c>
      <c r="G2" s="16" t="s">
        <v>39</v>
      </c>
      <c r="H2" s="16" t="s">
        <v>6</v>
      </c>
      <c r="I2" s="16" t="s">
        <v>383</v>
      </c>
      <c r="J2" s="16" t="s">
        <v>41</v>
      </c>
      <c r="K2" s="16"/>
      <c r="L2" s="16"/>
    </row>
    <row r="3" spans="1:12" x14ac:dyDescent="0.4">
      <c r="A3" s="16">
        <v>2</v>
      </c>
      <c r="B3" s="16" t="s">
        <v>384</v>
      </c>
      <c r="C3" s="16" t="s">
        <v>245</v>
      </c>
      <c r="D3" s="16" t="s">
        <v>385</v>
      </c>
      <c r="E3" s="16" t="s">
        <v>386</v>
      </c>
      <c r="F3" s="16" t="s">
        <v>387</v>
      </c>
      <c r="G3" s="16" t="s">
        <v>39</v>
      </c>
      <c r="H3" s="16" t="s">
        <v>6</v>
      </c>
      <c r="I3" s="16"/>
      <c r="J3" s="16" t="s">
        <v>41</v>
      </c>
      <c r="K3" s="16"/>
      <c r="L3" s="16"/>
    </row>
    <row r="4" spans="1:12" x14ac:dyDescent="0.4">
      <c r="A4" s="16">
        <v>3</v>
      </c>
      <c r="B4" s="16" t="s">
        <v>388</v>
      </c>
      <c r="C4" s="16" t="s">
        <v>245</v>
      </c>
      <c r="D4" s="16" t="s">
        <v>385</v>
      </c>
      <c r="E4" s="16" t="s">
        <v>389</v>
      </c>
      <c r="F4" s="16" t="s">
        <v>387</v>
      </c>
      <c r="G4" s="16" t="s">
        <v>39</v>
      </c>
      <c r="H4" s="16" t="s">
        <v>6</v>
      </c>
      <c r="I4" s="16"/>
      <c r="J4" s="16" t="s">
        <v>41</v>
      </c>
      <c r="K4" s="16"/>
      <c r="L4" s="16"/>
    </row>
    <row r="5" spans="1:12" x14ac:dyDescent="0.4">
      <c r="A5" s="16">
        <v>4</v>
      </c>
      <c r="B5" s="16" t="s">
        <v>390</v>
      </c>
      <c r="C5" s="16" t="s">
        <v>245</v>
      </c>
      <c r="D5" s="16" t="s">
        <v>385</v>
      </c>
      <c r="E5" s="16" t="s">
        <v>391</v>
      </c>
      <c r="F5" s="16" t="s">
        <v>387</v>
      </c>
      <c r="G5" s="16" t="s">
        <v>39</v>
      </c>
      <c r="H5" s="16" t="s">
        <v>6</v>
      </c>
      <c r="I5" s="16"/>
      <c r="J5" s="16" t="s">
        <v>41</v>
      </c>
      <c r="K5" s="16"/>
      <c r="L5" s="16"/>
    </row>
    <row r="6" spans="1:12" x14ac:dyDescent="0.4">
      <c r="A6" s="16">
        <v>5</v>
      </c>
      <c r="B6" s="16" t="s">
        <v>392</v>
      </c>
      <c r="C6" s="16" t="s">
        <v>245</v>
      </c>
      <c r="D6" s="16" t="s">
        <v>385</v>
      </c>
      <c r="E6" s="16" t="s">
        <v>393</v>
      </c>
      <c r="F6" s="16" t="s">
        <v>387</v>
      </c>
      <c r="G6" s="16" t="s">
        <v>39</v>
      </c>
      <c r="H6" s="16" t="s">
        <v>6</v>
      </c>
      <c r="I6" s="16" t="s">
        <v>394</v>
      </c>
      <c r="J6" s="16" t="s">
        <v>41</v>
      </c>
      <c r="K6" s="16"/>
      <c r="L6" s="16"/>
    </row>
    <row r="7" spans="1:12" x14ac:dyDescent="0.4">
      <c r="A7" s="16">
        <v>6</v>
      </c>
      <c r="B7" s="16" t="s">
        <v>395</v>
      </c>
      <c r="C7" s="16" t="s">
        <v>245</v>
      </c>
      <c r="D7" s="16" t="s">
        <v>385</v>
      </c>
      <c r="E7" s="16" t="s">
        <v>396</v>
      </c>
      <c r="F7" s="16" t="s">
        <v>387</v>
      </c>
      <c r="G7" s="16" t="s">
        <v>39</v>
      </c>
      <c r="H7" s="16" t="s">
        <v>6</v>
      </c>
      <c r="I7" s="16"/>
      <c r="J7" s="16" t="s">
        <v>41</v>
      </c>
      <c r="K7" s="16"/>
      <c r="L7" s="16"/>
    </row>
    <row r="8" spans="1:12" x14ac:dyDescent="0.4">
      <c r="A8" s="16">
        <v>7</v>
      </c>
      <c r="B8" s="16" t="s">
        <v>397</v>
      </c>
      <c r="C8" s="16" t="s">
        <v>245</v>
      </c>
      <c r="D8" s="16" t="s">
        <v>385</v>
      </c>
      <c r="E8" s="16" t="s">
        <v>398</v>
      </c>
      <c r="F8" s="16" t="s">
        <v>387</v>
      </c>
      <c r="G8" s="16" t="s">
        <v>39</v>
      </c>
      <c r="H8" s="16" t="s">
        <v>6</v>
      </c>
      <c r="I8" s="16"/>
      <c r="J8" s="16" t="s">
        <v>41</v>
      </c>
      <c r="K8" s="16"/>
      <c r="L8" s="16"/>
    </row>
    <row r="9" spans="1:12" x14ac:dyDescent="0.4">
      <c r="A9" s="16">
        <v>8</v>
      </c>
      <c r="B9" s="16" t="s">
        <v>399</v>
      </c>
      <c r="C9" s="16" t="s">
        <v>245</v>
      </c>
      <c r="D9" s="16" t="s">
        <v>400</v>
      </c>
      <c r="E9" s="16" t="s">
        <v>401</v>
      </c>
      <c r="F9" s="16" t="s">
        <v>402</v>
      </c>
      <c r="G9" s="16" t="s">
        <v>39</v>
      </c>
      <c r="H9" s="16" t="s">
        <v>6</v>
      </c>
      <c r="I9" s="16"/>
      <c r="J9" s="16" t="s">
        <v>41</v>
      </c>
      <c r="K9" s="16"/>
      <c r="L9" s="16"/>
    </row>
  </sheetData>
  <autoFilter ref="A1:L9" xr:uid="{00000000-0009-0000-0000-000003000000}"/>
  <conditionalFormatting sqref="H2:H9">
    <cfRule type="cellIs" dxfId="30" priority="1" operator="equal">
      <formula>"Đã có"</formula>
    </cfRule>
    <cfRule type="cellIs" dxfId="29" priority="2" operator="equal">
      <formula>"Một phần"</formula>
    </cfRule>
    <cfRule type="cellIs" dxfId="28" priority="3" operator="equal">
      <formula>"Chưa có"</formula>
    </cfRule>
    <cfRule type="cellIs" dxfId="27" priority="4" operator="equal">
      <formula>"Cần kiểm tra"</formula>
    </cfRule>
  </conditionalFormatting>
  <conditionalFormatting sqref="J2:J9">
    <cfRule type="cellIs" dxfId="26" priority="5" operator="equal">
      <formula>"Đạt"</formula>
    </cfRule>
    <cfRule type="cellIs" dxfId="25" priority="6" operator="equal">
      <formula>"Chưa đạt"</formula>
    </cfRule>
  </conditionalFormatting>
  <dataValidations count="2">
    <dataValidation type="list" sqref="H2:H9" xr:uid="{00000000-0002-0000-0300-000000000000}">
      <formula1>"Đã có,Một phần,Chưa có,Cần kiểm tra"</formula1>
    </dataValidation>
    <dataValidation type="list" allowBlank="1" sqref="J2:J9" xr:uid="{00000000-0002-0000-0300-000001000000}">
      <formula1>"Đạt,Chưa đạt,Chưa kiểm"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5" customWidth="1"/>
    <col min="2" max="2" width="8" customWidth="1"/>
    <col min="3" max="3" width="11" customWidth="1"/>
    <col min="4" max="4" width="26" customWidth="1"/>
    <col min="5" max="5" width="52" customWidth="1"/>
    <col min="6" max="6" width="15" customWidth="1"/>
    <col min="7" max="7" width="10" customWidth="1"/>
    <col min="8" max="8" width="15" customWidth="1"/>
    <col min="9" max="9" width="44" customWidth="1"/>
    <col min="10" max="11" width="14" customWidth="1"/>
    <col min="12" max="12" width="30" customWidth="1"/>
  </cols>
  <sheetData>
    <row r="1" spans="1:12" ht="29.15" x14ac:dyDescent="0.4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12" x14ac:dyDescent="0.4">
      <c r="A2" s="16">
        <v>1</v>
      </c>
      <c r="B2" s="16" t="s">
        <v>403</v>
      </c>
      <c r="C2" s="16" t="s">
        <v>35</v>
      </c>
      <c r="D2" s="16" t="s">
        <v>36</v>
      </c>
      <c r="E2" s="16" t="s">
        <v>404</v>
      </c>
      <c r="F2" s="16" t="s">
        <v>38</v>
      </c>
      <c r="G2" s="16" t="s">
        <v>39</v>
      </c>
      <c r="H2" s="16" t="s">
        <v>6</v>
      </c>
      <c r="I2" s="16"/>
      <c r="J2" s="16" t="s">
        <v>41</v>
      </c>
      <c r="K2" s="16"/>
      <c r="L2" s="16"/>
    </row>
    <row r="3" spans="1:12" x14ac:dyDescent="0.4">
      <c r="A3" s="16">
        <v>2</v>
      </c>
      <c r="B3" s="16" t="s">
        <v>405</v>
      </c>
      <c r="C3" s="16" t="s">
        <v>343</v>
      </c>
      <c r="D3" s="16" t="s">
        <v>406</v>
      </c>
      <c r="E3" s="16" t="s">
        <v>407</v>
      </c>
      <c r="F3" s="16" t="s">
        <v>408</v>
      </c>
      <c r="G3" s="16" t="s">
        <v>39</v>
      </c>
      <c r="H3" s="16" t="s">
        <v>6</v>
      </c>
      <c r="I3" s="16"/>
      <c r="J3" s="16" t="s">
        <v>41</v>
      </c>
      <c r="K3" s="16"/>
      <c r="L3" s="16"/>
    </row>
    <row r="4" spans="1:12" x14ac:dyDescent="0.4">
      <c r="A4" s="16">
        <v>3</v>
      </c>
      <c r="B4" s="16" t="s">
        <v>409</v>
      </c>
      <c r="C4" s="16" t="s">
        <v>343</v>
      </c>
      <c r="D4" s="16" t="s">
        <v>406</v>
      </c>
      <c r="E4" s="16" t="s">
        <v>410</v>
      </c>
      <c r="F4" s="16" t="s">
        <v>408</v>
      </c>
      <c r="G4" s="16" t="s">
        <v>39</v>
      </c>
      <c r="H4" s="16" t="s">
        <v>6</v>
      </c>
      <c r="I4" s="16"/>
      <c r="J4" s="16" t="s">
        <v>41</v>
      </c>
      <c r="K4" s="16"/>
      <c r="L4" s="16"/>
    </row>
    <row r="5" spans="1:12" x14ac:dyDescent="0.4">
      <c r="A5" s="16">
        <v>4</v>
      </c>
      <c r="B5" s="16" t="s">
        <v>411</v>
      </c>
      <c r="C5" s="16" t="s">
        <v>343</v>
      </c>
      <c r="D5" s="16" t="s">
        <v>406</v>
      </c>
      <c r="E5" s="16" t="s">
        <v>412</v>
      </c>
      <c r="F5" s="16" t="s">
        <v>408</v>
      </c>
      <c r="G5" s="16" t="s">
        <v>39</v>
      </c>
      <c r="H5" s="16" t="s">
        <v>6</v>
      </c>
      <c r="I5" s="16" t="s">
        <v>413</v>
      </c>
      <c r="J5" s="16" t="s">
        <v>41</v>
      </c>
      <c r="K5" s="16"/>
      <c r="L5" s="16"/>
    </row>
  </sheetData>
  <autoFilter ref="A1:L5" xr:uid="{00000000-0009-0000-0000-000004000000}"/>
  <conditionalFormatting sqref="H2:H5">
    <cfRule type="cellIs" dxfId="24" priority="1" operator="equal">
      <formula>"Đã có"</formula>
    </cfRule>
    <cfRule type="cellIs" dxfId="23" priority="2" operator="equal">
      <formula>"Một phần"</formula>
    </cfRule>
    <cfRule type="cellIs" dxfId="22" priority="3" operator="equal">
      <formula>"Chưa có"</formula>
    </cfRule>
    <cfRule type="cellIs" dxfId="21" priority="4" operator="equal">
      <formula>"Cần kiểm tra"</formula>
    </cfRule>
  </conditionalFormatting>
  <conditionalFormatting sqref="J2:J5">
    <cfRule type="cellIs" dxfId="20" priority="5" operator="equal">
      <formula>"Đạt"</formula>
    </cfRule>
    <cfRule type="cellIs" dxfId="19" priority="6" operator="equal">
      <formula>"Chưa đạt"</formula>
    </cfRule>
  </conditionalFormatting>
  <dataValidations count="2">
    <dataValidation type="list" sqref="H2:H5" xr:uid="{00000000-0002-0000-0400-000000000000}">
      <formula1>"Đã có,Một phần,Chưa có,Cần kiểm tra"</formula1>
    </dataValidation>
    <dataValidation type="list" allowBlank="1" sqref="J2:J5" xr:uid="{00000000-0002-0000-0400-000001000000}">
      <formula1>"Đạt,Chưa đạt,Chưa kiểm"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tabSelected="1" workbookViewId="0">
      <pane ySplit="1" topLeftCell="A2" activePane="bottomLeft" state="frozen"/>
      <selection pane="bottomLeft"/>
    </sheetView>
  </sheetViews>
  <sheetFormatPr defaultRowHeight="14.6" x14ac:dyDescent="0.4"/>
  <cols>
    <col min="1" max="1" width="5" customWidth="1"/>
    <col min="2" max="2" width="8" customWidth="1"/>
    <col min="3" max="3" width="11" customWidth="1"/>
    <col min="4" max="4" width="26" customWidth="1"/>
    <col min="5" max="5" width="52" customWidth="1"/>
    <col min="6" max="6" width="15" customWidth="1"/>
    <col min="7" max="7" width="10" customWidth="1"/>
    <col min="8" max="8" width="15" customWidth="1"/>
    <col min="9" max="9" width="44" customWidth="1"/>
    <col min="10" max="11" width="14" customWidth="1"/>
    <col min="12" max="12" width="30" customWidth="1"/>
  </cols>
  <sheetData>
    <row r="1" spans="1:12" ht="29.15" x14ac:dyDescent="0.4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12" x14ac:dyDescent="0.4">
      <c r="A2" s="16">
        <v>1</v>
      </c>
      <c r="B2" s="16" t="s">
        <v>414</v>
      </c>
      <c r="C2" s="16" t="s">
        <v>35</v>
      </c>
      <c r="D2" s="16" t="s">
        <v>36</v>
      </c>
      <c r="E2" s="16" t="s">
        <v>415</v>
      </c>
      <c r="F2" s="16" t="s">
        <v>38</v>
      </c>
      <c r="G2" s="16" t="s">
        <v>39</v>
      </c>
      <c r="H2" s="16" t="s">
        <v>5</v>
      </c>
      <c r="I2" s="16" t="s">
        <v>416</v>
      </c>
      <c r="J2" s="16" t="s">
        <v>41</v>
      </c>
      <c r="K2" s="16"/>
      <c r="L2" s="16"/>
    </row>
    <row r="3" spans="1:12" ht="29.15" x14ac:dyDescent="0.4">
      <c r="A3" s="16">
        <v>2</v>
      </c>
      <c r="B3" s="16" t="s">
        <v>417</v>
      </c>
      <c r="C3" s="16" t="s">
        <v>418</v>
      </c>
      <c r="D3" s="16" t="s">
        <v>419</v>
      </c>
      <c r="E3" s="16" t="s">
        <v>420</v>
      </c>
      <c r="F3" s="16" t="s">
        <v>421</v>
      </c>
      <c r="G3" s="16" t="s">
        <v>39</v>
      </c>
      <c r="H3" s="16" t="s">
        <v>6</v>
      </c>
      <c r="I3" s="16" t="s">
        <v>422</v>
      </c>
      <c r="J3" s="16" t="s">
        <v>41</v>
      </c>
      <c r="K3" s="16"/>
      <c r="L3" s="16"/>
    </row>
    <row r="4" spans="1:12" x14ac:dyDescent="0.4">
      <c r="A4" s="16">
        <v>3</v>
      </c>
      <c r="B4" s="16" t="s">
        <v>423</v>
      </c>
      <c r="C4" s="16" t="s">
        <v>418</v>
      </c>
      <c r="D4" s="16" t="s">
        <v>419</v>
      </c>
      <c r="E4" s="16" t="s">
        <v>424</v>
      </c>
      <c r="F4" s="16" t="s">
        <v>421</v>
      </c>
      <c r="G4" s="16" t="s">
        <v>39</v>
      </c>
      <c r="H4" s="16" t="s">
        <v>6</v>
      </c>
      <c r="I4" s="16"/>
      <c r="J4" s="16" t="s">
        <v>41</v>
      </c>
      <c r="K4" s="16"/>
      <c r="L4" s="16"/>
    </row>
    <row r="5" spans="1:12" x14ac:dyDescent="0.4">
      <c r="A5" s="16">
        <v>4</v>
      </c>
      <c r="B5" s="16" t="s">
        <v>425</v>
      </c>
      <c r="C5" s="16" t="s">
        <v>418</v>
      </c>
      <c r="D5" s="16" t="s">
        <v>419</v>
      </c>
      <c r="E5" s="16" t="s">
        <v>426</v>
      </c>
      <c r="F5" s="16" t="s">
        <v>421</v>
      </c>
      <c r="G5" s="16" t="s">
        <v>39</v>
      </c>
      <c r="H5" s="16" t="s">
        <v>6</v>
      </c>
      <c r="I5" s="16"/>
      <c r="J5" s="16" t="s">
        <v>41</v>
      </c>
      <c r="K5" s="16"/>
      <c r="L5" s="16"/>
    </row>
    <row r="6" spans="1:12" x14ac:dyDescent="0.4">
      <c r="A6" s="16">
        <v>5</v>
      </c>
      <c r="B6" s="16" t="s">
        <v>427</v>
      </c>
      <c r="C6" s="16" t="s">
        <v>418</v>
      </c>
      <c r="D6" s="16" t="s">
        <v>419</v>
      </c>
      <c r="E6" s="16" t="s">
        <v>428</v>
      </c>
      <c r="F6" s="16" t="s">
        <v>421</v>
      </c>
      <c r="G6" s="16" t="s">
        <v>39</v>
      </c>
      <c r="H6" s="16" t="s">
        <v>5</v>
      </c>
      <c r="I6" s="16" t="s">
        <v>429</v>
      </c>
      <c r="J6" s="16" t="s">
        <v>41</v>
      </c>
      <c r="K6" s="16"/>
      <c r="L6" s="16"/>
    </row>
    <row r="7" spans="1:12" x14ac:dyDescent="0.4">
      <c r="A7" s="16">
        <v>6</v>
      </c>
      <c r="B7" s="16" t="s">
        <v>430</v>
      </c>
      <c r="C7" s="16" t="s">
        <v>418</v>
      </c>
      <c r="D7" s="16" t="s">
        <v>419</v>
      </c>
      <c r="E7" s="16" t="s">
        <v>431</v>
      </c>
      <c r="F7" s="16" t="s">
        <v>421</v>
      </c>
      <c r="G7" s="16" t="s">
        <v>39</v>
      </c>
      <c r="H7" s="16" t="s">
        <v>5</v>
      </c>
      <c r="I7" s="16" t="s">
        <v>432</v>
      </c>
      <c r="J7" s="16" t="s">
        <v>41</v>
      </c>
      <c r="K7" s="16"/>
      <c r="L7" s="16"/>
    </row>
    <row r="8" spans="1:12" x14ac:dyDescent="0.4">
      <c r="A8" s="16">
        <v>7</v>
      </c>
      <c r="B8" s="16" t="s">
        <v>433</v>
      </c>
      <c r="C8" s="16" t="s">
        <v>418</v>
      </c>
      <c r="D8" s="16" t="s">
        <v>434</v>
      </c>
      <c r="E8" s="16" t="s">
        <v>435</v>
      </c>
      <c r="F8" s="16" t="s">
        <v>436</v>
      </c>
      <c r="G8" s="16" t="s">
        <v>39</v>
      </c>
      <c r="H8" s="16" t="s">
        <v>5</v>
      </c>
      <c r="I8" s="16" t="s">
        <v>437</v>
      </c>
      <c r="J8" s="16" t="s">
        <v>41</v>
      </c>
      <c r="K8" s="16"/>
      <c r="L8" s="16"/>
    </row>
    <row r="9" spans="1:12" x14ac:dyDescent="0.4">
      <c r="A9" s="16">
        <v>8</v>
      </c>
      <c r="B9" s="16" t="s">
        <v>438</v>
      </c>
      <c r="C9" s="16" t="s">
        <v>418</v>
      </c>
      <c r="D9" s="16" t="s">
        <v>434</v>
      </c>
      <c r="E9" s="16" t="s">
        <v>439</v>
      </c>
      <c r="F9" s="16" t="s">
        <v>436</v>
      </c>
      <c r="G9" s="16" t="s">
        <v>39</v>
      </c>
      <c r="H9" s="16" t="s">
        <v>5</v>
      </c>
      <c r="I9" s="16" t="s">
        <v>440</v>
      </c>
      <c r="J9" s="16" t="s">
        <v>41</v>
      </c>
      <c r="K9" s="16"/>
      <c r="L9" s="16"/>
    </row>
    <row r="10" spans="1:12" x14ac:dyDescent="0.4">
      <c r="A10" s="16">
        <v>9</v>
      </c>
      <c r="B10" s="16" t="s">
        <v>441</v>
      </c>
      <c r="C10" s="16" t="s">
        <v>418</v>
      </c>
      <c r="D10" s="16" t="s">
        <v>434</v>
      </c>
      <c r="E10" s="16" t="s">
        <v>442</v>
      </c>
      <c r="F10" s="16" t="s">
        <v>436</v>
      </c>
      <c r="G10" s="16" t="s">
        <v>39</v>
      </c>
      <c r="H10" s="16" t="s">
        <v>5</v>
      </c>
      <c r="I10" s="16" t="s">
        <v>443</v>
      </c>
      <c r="J10" s="16" t="s">
        <v>41</v>
      </c>
      <c r="K10" s="16"/>
      <c r="L10" s="16"/>
    </row>
    <row r="11" spans="1:12" x14ac:dyDescent="0.4">
      <c r="A11" s="16">
        <v>10</v>
      </c>
      <c r="B11" s="16" t="s">
        <v>444</v>
      </c>
      <c r="C11" s="16" t="s">
        <v>418</v>
      </c>
      <c r="D11" s="16" t="s">
        <v>434</v>
      </c>
      <c r="E11" s="16" t="s">
        <v>445</v>
      </c>
      <c r="F11" s="16" t="s">
        <v>436</v>
      </c>
      <c r="G11" s="16" t="s">
        <v>39</v>
      </c>
      <c r="H11" s="16" t="s">
        <v>6</v>
      </c>
      <c r="I11" s="16"/>
      <c r="J11" s="16" t="s">
        <v>41</v>
      </c>
      <c r="K11" s="16"/>
      <c r="L11" s="16"/>
    </row>
  </sheetData>
  <autoFilter ref="A1:L11" xr:uid="{00000000-0009-0000-0000-000005000000}"/>
  <conditionalFormatting sqref="H2:H11">
    <cfRule type="cellIs" dxfId="18" priority="1" operator="equal">
      <formula>"Đã có"</formula>
    </cfRule>
    <cfRule type="cellIs" dxfId="17" priority="2" operator="equal">
      <formula>"Một phần"</formula>
    </cfRule>
    <cfRule type="cellIs" dxfId="16" priority="3" operator="equal">
      <formula>"Chưa có"</formula>
    </cfRule>
    <cfRule type="cellIs" dxfId="15" priority="4" operator="equal">
      <formula>"Cần kiểm tra"</formula>
    </cfRule>
  </conditionalFormatting>
  <conditionalFormatting sqref="J2:J11">
    <cfRule type="cellIs" dxfId="14" priority="5" operator="equal">
      <formula>"Đạt"</formula>
    </cfRule>
    <cfRule type="cellIs" dxfId="13" priority="6" operator="equal">
      <formula>"Chưa đạt"</formula>
    </cfRule>
  </conditionalFormatting>
  <dataValidations count="2">
    <dataValidation type="list" sqref="H2:H11" xr:uid="{00000000-0002-0000-0500-000000000000}">
      <formula1>"Đã có,Một phần,Chưa có,Cần kiểm tra"</formula1>
    </dataValidation>
    <dataValidation type="list" allowBlank="1" sqref="J2:J11" xr:uid="{00000000-0002-0000-0500-000001000000}">
      <formula1>"Đạt,Chưa đạt,Chưa kiểm"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5" customWidth="1"/>
    <col min="2" max="2" width="8" customWidth="1"/>
    <col min="3" max="3" width="11" customWidth="1"/>
    <col min="4" max="4" width="26" customWidth="1"/>
    <col min="5" max="5" width="52" customWidth="1"/>
    <col min="6" max="6" width="15" customWidth="1"/>
    <col min="7" max="7" width="10" customWidth="1"/>
    <col min="8" max="8" width="15" customWidth="1"/>
    <col min="9" max="9" width="44" customWidth="1"/>
    <col min="10" max="11" width="14" customWidth="1"/>
    <col min="12" max="12" width="30" customWidth="1"/>
  </cols>
  <sheetData>
    <row r="1" spans="1:12" ht="29.15" x14ac:dyDescent="0.4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12" x14ac:dyDescent="0.4">
      <c r="A2" s="16">
        <v>1</v>
      </c>
      <c r="B2" s="16" t="s">
        <v>446</v>
      </c>
      <c r="C2" s="16" t="s">
        <v>56</v>
      </c>
      <c r="D2" s="16" t="s">
        <v>447</v>
      </c>
      <c r="E2" s="16" t="s">
        <v>448</v>
      </c>
      <c r="F2" s="16" t="s">
        <v>223</v>
      </c>
      <c r="G2" s="16" t="s">
        <v>39</v>
      </c>
      <c r="H2" s="16" t="s">
        <v>4</v>
      </c>
      <c r="I2" s="16" t="s">
        <v>449</v>
      </c>
      <c r="J2" s="16" t="s">
        <v>41</v>
      </c>
      <c r="K2" s="16"/>
      <c r="L2" s="16"/>
    </row>
    <row r="3" spans="1:12" x14ac:dyDescent="0.4">
      <c r="A3" s="16">
        <v>2</v>
      </c>
      <c r="B3" s="16" t="s">
        <v>450</v>
      </c>
      <c r="C3" s="16" t="s">
        <v>56</v>
      </c>
      <c r="D3" s="16" t="s">
        <v>451</v>
      </c>
      <c r="E3" s="16" t="s">
        <v>452</v>
      </c>
      <c r="F3" s="16" t="s">
        <v>223</v>
      </c>
      <c r="G3" s="16" t="s">
        <v>123</v>
      </c>
      <c r="H3" s="16" t="s">
        <v>5</v>
      </c>
      <c r="I3" s="16" t="s">
        <v>453</v>
      </c>
      <c r="J3" s="16" t="s">
        <v>41</v>
      </c>
      <c r="K3" s="16"/>
      <c r="L3" s="16"/>
    </row>
    <row r="4" spans="1:12" x14ac:dyDescent="0.4">
      <c r="A4" s="16">
        <v>3</v>
      </c>
      <c r="B4" s="16" t="s">
        <v>454</v>
      </c>
      <c r="C4" s="16" t="s">
        <v>185</v>
      </c>
      <c r="D4" s="16" t="s">
        <v>455</v>
      </c>
      <c r="E4" s="16" t="s">
        <v>456</v>
      </c>
      <c r="F4" s="16" t="s">
        <v>223</v>
      </c>
      <c r="G4" s="16" t="s">
        <v>39</v>
      </c>
      <c r="H4" s="16" t="s">
        <v>5</v>
      </c>
      <c r="I4" s="16" t="s">
        <v>457</v>
      </c>
      <c r="J4" s="16" t="s">
        <v>41</v>
      </c>
      <c r="K4" s="16"/>
      <c r="L4" s="16"/>
    </row>
    <row r="5" spans="1:12" x14ac:dyDescent="0.4">
      <c r="A5" s="16">
        <v>4</v>
      </c>
      <c r="B5" s="16" t="s">
        <v>458</v>
      </c>
      <c r="C5" s="16" t="s">
        <v>343</v>
      </c>
      <c r="D5" s="16" t="s">
        <v>459</v>
      </c>
      <c r="E5" s="16" t="s">
        <v>460</v>
      </c>
      <c r="F5" s="16" t="s">
        <v>223</v>
      </c>
      <c r="G5" s="16" t="s">
        <v>39</v>
      </c>
      <c r="H5" s="16" t="s">
        <v>4</v>
      </c>
      <c r="I5" s="16" t="s">
        <v>461</v>
      </c>
      <c r="J5" s="16" t="s">
        <v>41</v>
      </c>
      <c r="K5" s="16"/>
      <c r="L5" s="16"/>
    </row>
    <row r="6" spans="1:12" ht="29.15" x14ac:dyDescent="0.4">
      <c r="A6" s="16">
        <v>5</v>
      </c>
      <c r="B6" s="16" t="s">
        <v>462</v>
      </c>
      <c r="C6" s="16" t="s">
        <v>35</v>
      </c>
      <c r="D6" s="16" t="s">
        <v>463</v>
      </c>
      <c r="E6" s="16" t="s">
        <v>464</v>
      </c>
      <c r="F6" s="16" t="s">
        <v>465</v>
      </c>
      <c r="G6" s="16" t="s">
        <v>123</v>
      </c>
      <c r="H6" s="16" t="s">
        <v>5</v>
      </c>
      <c r="I6" s="16" t="s">
        <v>466</v>
      </c>
      <c r="J6" s="16" t="s">
        <v>41</v>
      </c>
      <c r="K6" s="16"/>
      <c r="L6" s="16"/>
    </row>
    <row r="7" spans="1:12" x14ac:dyDescent="0.4">
      <c r="A7" s="16">
        <v>6</v>
      </c>
      <c r="B7" s="16" t="s">
        <v>467</v>
      </c>
      <c r="C7" s="16" t="s">
        <v>35</v>
      </c>
      <c r="D7" s="16" t="s">
        <v>463</v>
      </c>
      <c r="E7" s="16" t="s">
        <v>468</v>
      </c>
      <c r="F7" s="16" t="s">
        <v>469</v>
      </c>
      <c r="G7" s="16" t="s">
        <v>123</v>
      </c>
      <c r="H7" s="16" t="s">
        <v>6</v>
      </c>
      <c r="I7" s="16"/>
      <c r="J7" s="16" t="s">
        <v>41</v>
      </c>
      <c r="K7" s="16"/>
      <c r="L7" s="16"/>
    </row>
    <row r="8" spans="1:12" x14ac:dyDescent="0.4">
      <c r="A8" s="16">
        <v>7</v>
      </c>
      <c r="B8" s="16" t="s">
        <v>470</v>
      </c>
      <c r="C8" s="16" t="s">
        <v>35</v>
      </c>
      <c r="D8" s="16" t="s">
        <v>463</v>
      </c>
      <c r="E8" s="16" t="s">
        <v>471</v>
      </c>
      <c r="F8" s="16" t="s">
        <v>223</v>
      </c>
      <c r="G8" s="16" t="s">
        <v>123</v>
      </c>
      <c r="H8" s="16" t="s">
        <v>5</v>
      </c>
      <c r="I8" s="16" t="s">
        <v>472</v>
      </c>
      <c r="J8" s="16" t="s">
        <v>41</v>
      </c>
      <c r="K8" s="16"/>
      <c r="L8" s="16"/>
    </row>
  </sheetData>
  <autoFilter ref="A1:L8" xr:uid="{00000000-0009-0000-0000-000006000000}"/>
  <conditionalFormatting sqref="H2:H8">
    <cfRule type="cellIs" dxfId="12" priority="1" operator="equal">
      <formula>"Đã có"</formula>
    </cfRule>
    <cfRule type="cellIs" dxfId="11" priority="2" operator="equal">
      <formula>"Một phần"</formula>
    </cfRule>
    <cfRule type="cellIs" dxfId="10" priority="3" operator="equal">
      <formula>"Chưa có"</formula>
    </cfRule>
    <cfRule type="cellIs" dxfId="9" priority="4" operator="equal">
      <formula>"Cần kiểm tra"</formula>
    </cfRule>
  </conditionalFormatting>
  <conditionalFormatting sqref="J2:J8">
    <cfRule type="cellIs" dxfId="8" priority="5" operator="equal">
      <formula>"Đạt"</formula>
    </cfRule>
    <cfRule type="cellIs" dxfId="7" priority="6" operator="equal">
      <formula>"Chưa đạt"</formula>
    </cfRule>
  </conditionalFormatting>
  <dataValidations count="2">
    <dataValidation type="list" sqref="H2:H8" xr:uid="{00000000-0002-0000-0600-000000000000}">
      <formula1>"Đã có,Một phần,Chưa có,Cần kiểm tra"</formula1>
    </dataValidation>
    <dataValidation type="list" allowBlank="1" sqref="J2:J8" xr:uid="{00000000-0002-0000-0600-000001000000}">
      <formula1>"Đạt,Chưa đạt,Chưa kiểm"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9" customWidth="1"/>
    <col min="2" max="2" width="46" customWidth="1"/>
    <col min="3" max="3" width="14" customWidth="1"/>
    <col min="4" max="4" width="16" customWidth="1"/>
    <col min="5" max="5" width="44" customWidth="1"/>
    <col min="6" max="7" width="14" customWidth="1"/>
  </cols>
  <sheetData>
    <row r="1" spans="1:7" ht="29.15" x14ac:dyDescent="0.4">
      <c r="A1" s="2" t="s">
        <v>23</v>
      </c>
      <c r="B1" s="2" t="s">
        <v>473</v>
      </c>
      <c r="C1" s="2" t="s">
        <v>474</v>
      </c>
      <c r="D1" s="2" t="s">
        <v>29</v>
      </c>
      <c r="E1" s="2" t="s">
        <v>475</v>
      </c>
      <c r="F1" s="2" t="s">
        <v>31</v>
      </c>
      <c r="G1" s="2" t="s">
        <v>32</v>
      </c>
    </row>
    <row r="2" spans="1:7" x14ac:dyDescent="0.4">
      <c r="A2" s="16" t="s">
        <v>476</v>
      </c>
      <c r="B2" s="16" t="s">
        <v>477</v>
      </c>
      <c r="C2" s="16" t="s">
        <v>478</v>
      </c>
      <c r="D2" s="16" t="s">
        <v>7</v>
      </c>
      <c r="E2" s="16" t="s">
        <v>479</v>
      </c>
      <c r="F2" s="16" t="s">
        <v>41</v>
      </c>
      <c r="G2" s="16"/>
    </row>
    <row r="3" spans="1:7" x14ac:dyDescent="0.4">
      <c r="A3" s="16" t="s">
        <v>480</v>
      </c>
      <c r="B3" s="16" t="s">
        <v>481</v>
      </c>
      <c r="C3" s="16" t="s">
        <v>478</v>
      </c>
      <c r="D3" s="16" t="s">
        <v>7</v>
      </c>
      <c r="E3" s="16"/>
      <c r="F3" s="16" t="s">
        <v>41</v>
      </c>
      <c r="G3" s="16"/>
    </row>
    <row r="4" spans="1:7" x14ac:dyDescent="0.4">
      <c r="A4" s="16" t="s">
        <v>482</v>
      </c>
      <c r="B4" s="16" t="s">
        <v>483</v>
      </c>
      <c r="C4" s="16" t="s">
        <v>478</v>
      </c>
      <c r="D4" s="16" t="s">
        <v>4</v>
      </c>
      <c r="E4" s="16" t="s">
        <v>484</v>
      </c>
      <c r="F4" s="16" t="s">
        <v>41</v>
      </c>
      <c r="G4" s="16"/>
    </row>
    <row r="5" spans="1:7" x14ac:dyDescent="0.4">
      <c r="A5" s="16" t="s">
        <v>485</v>
      </c>
      <c r="B5" s="16" t="s">
        <v>486</v>
      </c>
      <c r="C5" s="16" t="s">
        <v>487</v>
      </c>
      <c r="D5" s="16" t="s">
        <v>6</v>
      </c>
      <c r="E5" s="16" t="s">
        <v>488</v>
      </c>
      <c r="F5" s="16" t="s">
        <v>41</v>
      </c>
      <c r="G5" s="16"/>
    </row>
    <row r="6" spans="1:7" x14ac:dyDescent="0.4">
      <c r="A6" s="16" t="s">
        <v>489</v>
      </c>
      <c r="B6" s="16" t="s">
        <v>490</v>
      </c>
      <c r="C6" s="16" t="s">
        <v>491</v>
      </c>
      <c r="D6" s="16" t="s">
        <v>5</v>
      </c>
      <c r="E6" s="16"/>
      <c r="F6" s="16" t="s">
        <v>41</v>
      </c>
      <c r="G6" s="16"/>
    </row>
    <row r="7" spans="1:7" x14ac:dyDescent="0.4">
      <c r="A7" s="16" t="s">
        <v>492</v>
      </c>
      <c r="B7" s="16" t="s">
        <v>493</v>
      </c>
      <c r="C7" s="16" t="s">
        <v>494</v>
      </c>
      <c r="D7" s="16" t="s">
        <v>7</v>
      </c>
      <c r="E7" s="16" t="s">
        <v>488</v>
      </c>
      <c r="F7" s="16" t="s">
        <v>41</v>
      </c>
      <c r="G7" s="16"/>
    </row>
    <row r="8" spans="1:7" x14ac:dyDescent="0.4">
      <c r="A8" s="16" t="s">
        <v>495</v>
      </c>
      <c r="B8" s="16" t="s">
        <v>496</v>
      </c>
      <c r="C8" s="16" t="s">
        <v>497</v>
      </c>
      <c r="D8" s="16" t="s">
        <v>5</v>
      </c>
      <c r="E8" s="16"/>
      <c r="F8" s="16" t="s">
        <v>41</v>
      </c>
      <c r="G8" s="16"/>
    </row>
    <row r="9" spans="1:7" x14ac:dyDescent="0.4">
      <c r="A9" s="16" t="s">
        <v>498</v>
      </c>
      <c r="B9" s="16" t="s">
        <v>499</v>
      </c>
      <c r="C9" s="16" t="s">
        <v>500</v>
      </c>
      <c r="D9" s="16" t="s">
        <v>4</v>
      </c>
      <c r="E9" s="16"/>
      <c r="F9" s="16" t="s">
        <v>41</v>
      </c>
      <c r="G9" s="16"/>
    </row>
  </sheetData>
  <autoFilter ref="A1:G9" xr:uid="{00000000-0009-0000-0000-000007000000}"/>
  <conditionalFormatting sqref="D2:D9">
    <cfRule type="cellIs" dxfId="6" priority="1" operator="equal">
      <formula>"Đã có"</formula>
    </cfRule>
    <cfRule type="cellIs" dxfId="5" priority="2" operator="equal">
      <formula>"Một phần"</formula>
    </cfRule>
    <cfRule type="cellIs" dxfId="4" priority="3" operator="equal">
      <formula>"Chưa có"</formula>
    </cfRule>
    <cfRule type="cellIs" dxfId="3" priority="4" operator="equal">
      <formula>"Cần kiểm tra"</formula>
    </cfRule>
  </conditionalFormatting>
  <dataValidations count="1">
    <dataValidation type="list" sqref="F2:F9" xr:uid="{00000000-0002-0000-0700-000000000000}">
      <formula1>"Đạt,Chưa đạt,Chưa kiểm"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5" customWidth="1"/>
    <col min="2" max="2" width="11" customWidth="1"/>
    <col min="3" max="3" width="14" customWidth="1"/>
    <col min="4" max="5" width="60" customWidth="1"/>
    <col min="6" max="6" width="16" customWidth="1"/>
  </cols>
  <sheetData>
    <row r="1" spans="1:6" ht="29.15" x14ac:dyDescent="0.4">
      <c r="A1" s="2" t="s">
        <v>22</v>
      </c>
      <c r="B1" s="2" t="s">
        <v>501</v>
      </c>
      <c r="C1" s="2" t="s">
        <v>502</v>
      </c>
      <c r="D1" s="2" t="s">
        <v>503</v>
      </c>
      <c r="E1" s="2" t="s">
        <v>504</v>
      </c>
      <c r="F1" s="2" t="s">
        <v>505</v>
      </c>
    </row>
    <row r="2" spans="1:6" ht="29.15" x14ac:dyDescent="0.4">
      <c r="A2" s="16">
        <v>1</v>
      </c>
      <c r="B2" s="16" t="s">
        <v>506</v>
      </c>
      <c r="C2" s="16" t="s">
        <v>507</v>
      </c>
      <c r="D2" s="16" t="s">
        <v>508</v>
      </c>
      <c r="E2" s="16" t="s">
        <v>509</v>
      </c>
      <c r="F2" s="16" t="s">
        <v>510</v>
      </c>
    </row>
    <row r="3" spans="1:6" ht="29.15" x14ac:dyDescent="0.4">
      <c r="A3" s="16">
        <v>2</v>
      </c>
      <c r="B3" s="16" t="s">
        <v>506</v>
      </c>
      <c r="C3" s="16" t="s">
        <v>511</v>
      </c>
      <c r="D3" s="16" t="s">
        <v>512</v>
      </c>
      <c r="E3" s="16" t="s">
        <v>513</v>
      </c>
      <c r="F3" s="16" t="s">
        <v>510</v>
      </c>
    </row>
    <row r="4" spans="1:6" ht="29.15" x14ac:dyDescent="0.4">
      <c r="A4" s="16">
        <v>3</v>
      </c>
      <c r="B4" s="16" t="s">
        <v>506</v>
      </c>
      <c r="C4" s="16" t="s">
        <v>511</v>
      </c>
      <c r="D4" s="16" t="s">
        <v>514</v>
      </c>
      <c r="E4" s="16" t="s">
        <v>515</v>
      </c>
      <c r="F4" s="16" t="s">
        <v>510</v>
      </c>
    </row>
    <row r="5" spans="1:6" ht="29.15" x14ac:dyDescent="0.4">
      <c r="A5" s="16">
        <v>4</v>
      </c>
      <c r="B5" s="16" t="s">
        <v>506</v>
      </c>
      <c r="C5" s="16" t="s">
        <v>511</v>
      </c>
      <c r="D5" s="16" t="s">
        <v>516</v>
      </c>
      <c r="E5" s="16" t="s">
        <v>517</v>
      </c>
      <c r="F5" s="16" t="s">
        <v>510</v>
      </c>
    </row>
    <row r="6" spans="1:6" x14ac:dyDescent="0.4">
      <c r="A6" s="16">
        <v>5</v>
      </c>
      <c r="B6" s="16" t="s">
        <v>506</v>
      </c>
      <c r="C6" s="16" t="s">
        <v>518</v>
      </c>
      <c r="D6" s="16" t="s">
        <v>519</v>
      </c>
      <c r="E6" s="16" t="s">
        <v>520</v>
      </c>
      <c r="F6" s="16" t="s">
        <v>510</v>
      </c>
    </row>
    <row r="7" spans="1:6" ht="29.15" x14ac:dyDescent="0.4">
      <c r="A7" s="16">
        <v>6</v>
      </c>
      <c r="B7" s="16" t="s">
        <v>506</v>
      </c>
      <c r="C7" s="16" t="s">
        <v>521</v>
      </c>
      <c r="D7" s="16" t="s">
        <v>522</v>
      </c>
      <c r="E7" s="16" t="s">
        <v>523</v>
      </c>
      <c r="F7" s="16" t="s">
        <v>510</v>
      </c>
    </row>
    <row r="8" spans="1:6" ht="29.15" x14ac:dyDescent="0.4">
      <c r="A8" s="16">
        <v>7</v>
      </c>
      <c r="B8" s="16" t="s">
        <v>524</v>
      </c>
      <c r="C8" s="16" t="s">
        <v>511</v>
      </c>
      <c r="D8" s="16" t="s">
        <v>525</v>
      </c>
      <c r="E8" s="16" t="s">
        <v>526</v>
      </c>
      <c r="F8" s="16" t="s">
        <v>510</v>
      </c>
    </row>
    <row r="9" spans="1:6" x14ac:dyDescent="0.4">
      <c r="A9" s="16">
        <v>8</v>
      </c>
      <c r="B9" s="16" t="s">
        <v>524</v>
      </c>
      <c r="C9" s="16" t="s">
        <v>511</v>
      </c>
      <c r="D9" s="16" t="s">
        <v>527</v>
      </c>
      <c r="E9" s="16" t="s">
        <v>528</v>
      </c>
      <c r="F9" s="16" t="s">
        <v>510</v>
      </c>
    </row>
    <row r="10" spans="1:6" ht="29.15" x14ac:dyDescent="0.4">
      <c r="A10" s="16">
        <v>9</v>
      </c>
      <c r="B10" s="16" t="s">
        <v>524</v>
      </c>
      <c r="C10" s="16" t="s">
        <v>518</v>
      </c>
      <c r="D10" s="16" t="s">
        <v>529</v>
      </c>
      <c r="E10" s="16" t="s">
        <v>530</v>
      </c>
      <c r="F10" s="16" t="s">
        <v>510</v>
      </c>
    </row>
    <row r="11" spans="1:6" x14ac:dyDescent="0.4">
      <c r="A11" s="16">
        <v>10</v>
      </c>
      <c r="B11" s="16" t="s">
        <v>524</v>
      </c>
      <c r="C11" s="16" t="s">
        <v>518</v>
      </c>
      <c r="D11" s="16" t="s">
        <v>531</v>
      </c>
      <c r="E11" s="16" t="s">
        <v>532</v>
      </c>
      <c r="F11" s="16" t="s">
        <v>510</v>
      </c>
    </row>
    <row r="12" spans="1:6" x14ac:dyDescent="0.4">
      <c r="A12" s="16">
        <v>11</v>
      </c>
      <c r="B12" s="16" t="s">
        <v>524</v>
      </c>
      <c r="C12" s="16" t="s">
        <v>507</v>
      </c>
      <c r="D12" s="16" t="s">
        <v>533</v>
      </c>
      <c r="E12" s="16" t="s">
        <v>534</v>
      </c>
      <c r="F12" s="16" t="s">
        <v>510</v>
      </c>
    </row>
    <row r="13" spans="1:6" ht="43.75" x14ac:dyDescent="0.4">
      <c r="A13" s="16">
        <v>12</v>
      </c>
      <c r="B13" s="16" t="s">
        <v>524</v>
      </c>
      <c r="C13" s="16" t="s">
        <v>535</v>
      </c>
      <c r="D13" s="16" t="s">
        <v>536</v>
      </c>
      <c r="E13" s="16" t="s">
        <v>537</v>
      </c>
      <c r="F13" s="16" t="s">
        <v>510</v>
      </c>
    </row>
    <row r="14" spans="1:6" x14ac:dyDescent="0.4">
      <c r="A14" s="16">
        <v>13</v>
      </c>
      <c r="B14" s="16" t="s">
        <v>524</v>
      </c>
      <c r="C14" s="16" t="s">
        <v>538</v>
      </c>
      <c r="D14" s="16" t="s">
        <v>539</v>
      </c>
      <c r="E14" s="16" t="s">
        <v>540</v>
      </c>
      <c r="F14" s="16" t="s">
        <v>510</v>
      </c>
    </row>
    <row r="15" spans="1:6" x14ac:dyDescent="0.4">
      <c r="A15" s="16">
        <v>14</v>
      </c>
      <c r="B15" s="16" t="s">
        <v>541</v>
      </c>
      <c r="C15" s="16" t="s">
        <v>518</v>
      </c>
      <c r="D15" s="16" t="s">
        <v>542</v>
      </c>
      <c r="E15" s="16" t="s">
        <v>543</v>
      </c>
      <c r="F15" s="16" t="s">
        <v>510</v>
      </c>
    </row>
    <row r="16" spans="1:6" ht="29.15" x14ac:dyDescent="0.4">
      <c r="A16" s="16">
        <v>15</v>
      </c>
      <c r="B16" s="16" t="s">
        <v>541</v>
      </c>
      <c r="C16" s="16" t="s">
        <v>544</v>
      </c>
      <c r="D16" s="16" t="s">
        <v>545</v>
      </c>
      <c r="E16" s="16" t="s">
        <v>546</v>
      </c>
      <c r="F16" s="16" t="s">
        <v>510</v>
      </c>
    </row>
    <row r="17" spans="1:6" ht="29.15" x14ac:dyDescent="0.4">
      <c r="A17" s="16">
        <v>16</v>
      </c>
      <c r="B17" s="16" t="s">
        <v>541</v>
      </c>
      <c r="C17" s="16" t="s">
        <v>547</v>
      </c>
      <c r="D17" s="16" t="s">
        <v>548</v>
      </c>
      <c r="E17" s="16" t="s">
        <v>549</v>
      </c>
      <c r="F17" s="16" t="s">
        <v>510</v>
      </c>
    </row>
  </sheetData>
  <autoFilter ref="A1:F17" xr:uid="{00000000-0009-0000-0000-000008000000}"/>
  <conditionalFormatting sqref="B2:B17">
    <cfRule type="cellIs" dxfId="2" priority="1" operator="equal">
      <formula>"Cao"</formula>
    </cfRule>
    <cfRule type="cellIs" dxfId="1" priority="2" operator="equal">
      <formula>"Trung bình"</formula>
    </cfRule>
    <cfRule type="cellIs" dxfId="0" priority="3" operator="equal">
      <formula>"Thấp"</formula>
    </cfRule>
  </conditionalFormatting>
  <dataValidations count="1">
    <dataValidation type="list" sqref="F2:F17" xr:uid="{00000000-0002-0000-0800-000000000000}">
      <formula1>"Rồi,Chưa,Không cần"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5" customWidth="1"/>
    <col min="2" max="2" width="20" customWidth="1"/>
    <col min="3" max="3" width="80" customWidth="1"/>
    <col min="4" max="4" width="14" customWidth="1"/>
  </cols>
  <sheetData>
    <row r="1" spans="1:4" x14ac:dyDescent="0.4">
      <c r="A1" s="2" t="s">
        <v>22</v>
      </c>
      <c r="B1" s="2" t="s">
        <v>550</v>
      </c>
      <c r="C1" s="2" t="s">
        <v>551</v>
      </c>
      <c r="D1" s="2" t="s">
        <v>552</v>
      </c>
    </row>
    <row r="2" spans="1:4" x14ac:dyDescent="0.4">
      <c r="A2" s="16">
        <v>1</v>
      </c>
      <c r="B2" s="16" t="s">
        <v>553</v>
      </c>
      <c r="C2" s="16" t="s">
        <v>554</v>
      </c>
      <c r="D2" s="16" t="s">
        <v>510</v>
      </c>
    </row>
    <row r="3" spans="1:4" x14ac:dyDescent="0.4">
      <c r="A3" s="16">
        <v>2</v>
      </c>
      <c r="B3" s="16" t="s">
        <v>555</v>
      </c>
      <c r="C3" s="16" t="s">
        <v>556</v>
      </c>
      <c r="D3" s="16" t="s">
        <v>510</v>
      </c>
    </row>
    <row r="4" spans="1:4" x14ac:dyDescent="0.4">
      <c r="A4" s="16">
        <v>3</v>
      </c>
      <c r="B4" s="16" t="s">
        <v>557</v>
      </c>
      <c r="C4" s="16" t="s">
        <v>558</v>
      </c>
      <c r="D4" s="16" t="s">
        <v>510</v>
      </c>
    </row>
    <row r="5" spans="1:4" x14ac:dyDescent="0.4">
      <c r="A5" s="16">
        <v>4</v>
      </c>
      <c r="B5" s="16" t="s">
        <v>559</v>
      </c>
      <c r="C5" s="16" t="s">
        <v>560</v>
      </c>
      <c r="D5" s="16" t="s">
        <v>510</v>
      </c>
    </row>
    <row r="6" spans="1:4" x14ac:dyDescent="0.4">
      <c r="A6" s="16">
        <v>5</v>
      </c>
      <c r="B6" s="16" t="s">
        <v>561</v>
      </c>
      <c r="C6" s="16" t="s">
        <v>562</v>
      </c>
      <c r="D6" s="16" t="s">
        <v>510</v>
      </c>
    </row>
    <row r="7" spans="1:4" x14ac:dyDescent="0.4">
      <c r="A7" s="16">
        <v>6</v>
      </c>
      <c r="B7" s="16" t="s">
        <v>563</v>
      </c>
      <c r="C7" s="16" t="s">
        <v>564</v>
      </c>
      <c r="D7" s="16" t="s">
        <v>510</v>
      </c>
    </row>
    <row r="8" spans="1:4" x14ac:dyDescent="0.4">
      <c r="A8" s="16">
        <v>7</v>
      </c>
      <c r="B8" s="16" t="s">
        <v>565</v>
      </c>
      <c r="C8" s="16" t="s">
        <v>566</v>
      </c>
      <c r="D8" s="16" t="s">
        <v>510</v>
      </c>
    </row>
    <row r="9" spans="1:4" x14ac:dyDescent="0.4">
      <c r="A9" s="16">
        <v>8</v>
      </c>
      <c r="B9" s="16" t="s">
        <v>567</v>
      </c>
      <c r="C9" s="16" t="s">
        <v>568</v>
      </c>
      <c r="D9" s="16" t="s">
        <v>510</v>
      </c>
    </row>
    <row r="10" spans="1:4" x14ac:dyDescent="0.4">
      <c r="A10" s="16">
        <v>9</v>
      </c>
      <c r="B10" s="16" t="s">
        <v>569</v>
      </c>
      <c r="C10" s="16" t="s">
        <v>570</v>
      </c>
      <c r="D10" s="16" t="s">
        <v>510</v>
      </c>
    </row>
    <row r="11" spans="1:4" x14ac:dyDescent="0.4">
      <c r="A11" s="16">
        <v>10</v>
      </c>
      <c r="B11" s="16" t="s">
        <v>571</v>
      </c>
      <c r="C11" s="16" t="s">
        <v>572</v>
      </c>
      <c r="D11" s="16" t="s">
        <v>510</v>
      </c>
    </row>
  </sheetData>
  <autoFilter ref="A1:D11" xr:uid="{00000000-0009-0000-0000-000009000000}"/>
  <dataValidations count="1">
    <dataValidation type="list" sqref="D2:D11" xr:uid="{00000000-0002-0000-0900-000000000000}">
      <formula1>"Có,Chưa,Không"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Tổng quan</vt:lpstr>
      <vt:lpstr>Sinh viên</vt:lpstr>
      <vt:lpstr>Giảng viên</vt:lpstr>
      <vt:lpstr>Trưởng nhóm HP</vt:lpstr>
      <vt:lpstr>Trưởng khoa</vt:lpstr>
      <vt:lpstr>Admin</vt:lpstr>
      <vt:lpstr>Hệ thống AI</vt:lpstr>
      <vt:lpstr>Phi chức năng (NFR)</vt:lpstr>
      <vt:lpstr>SRS còn thiếu</vt:lpstr>
      <vt:lpstr>Hệ thống có, SRS chưa có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Duc Binh</cp:lastModifiedBy>
  <dcterms:created xsi:type="dcterms:W3CDTF">2026-10-14T04:50:36Z</dcterms:created>
  <dcterms:modified xsi:type="dcterms:W3CDTF">2026-10-14T15:58:40Z</dcterms:modified>
</cp:coreProperties>
</file>